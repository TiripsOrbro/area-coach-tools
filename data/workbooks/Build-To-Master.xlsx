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WEEKLY PREP GUIDES" sheetId="1" r:id="rId1"/>
    <sheet name="DRY" sheetId="2" r:id="rId2"/>
    <sheet name="FRIDGE &amp; FREEZER" sheetId="3" r:id="rId3"/>
    <sheet name="SCHWEPPES" sheetId="4" r:id="rId4"/>
    <sheet name="BEGA" sheetId="5" r:id="rId5"/>
    <sheet name="CUTFRESH" sheetId="6" r:id="rId6"/>
    <sheet name="STOCK ON HAND" sheetId="7" r:id="rId7"/>
    <sheet name="STOCK ON ORDER" sheetId="8" r:id="rId8"/>
    <sheet name="AC and RGM only" sheetId="9" r:id="rId9"/>
    <sheet name="Settings" sheetId="10" r:id="rId10"/>
  </sheets>
  <definedNames>
    <definedName name="_xlnm.Print_Area" localSheetId="0">'WEEKLY PREP GUIDES'!$A$112:$Q$150,'WEEKLY PREP GUIDES'!$A$14:$Q$102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"/>
    <numFmt numFmtId="165" formatCode="[$$-C09]#,##0.00"/>
    <numFmt numFmtId="166" formatCode="m/d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0"/>
  <sheetViews>
    <sheetView workbookViewId="0" rightToLeft="0"/>
  </sheetViews>
  <sheetData>
    <row r="1">
      <c r="B1" t="str">
        <v>ITEM NAME</v>
      </c>
      <c r="C1" t="str">
        <v>MONDAY</v>
      </c>
      <c r="E1" t="str">
        <v>TUESDAY</v>
      </c>
      <c r="G1" t="str">
        <v>WEDNESDAY</v>
      </c>
      <c r="I1" t="str">
        <v>THURSDAY</v>
      </c>
      <c r="K1" t="str">
        <v>FRIDAY</v>
      </c>
      <c r="M1" t="str">
        <v>SATURDAY</v>
      </c>
      <c r="O1" t="str">
        <v>SUNDAY</v>
      </c>
      <c r="R1" t="str">
        <v>DAILY AVG</v>
      </c>
    </row>
    <row r="2">
      <c r="B2" t="str">
        <v>TOSTADA</v>
      </c>
      <c r="C2" cm="1">
        <f t="array" ref="C2">INDEX('AC and RGM only'!$N$1:$T$150, MATCH(TRUE, ISNUMBER(SEARCH($B$2, 'AC and RGM only'!$L$1:$L$150)), 0), MATCH(TRUE, ISNUMBER(SEARCH(C$1, 'AC and RGM only'!$D$2:$J$2)), 0))</f>
        <v>73</v>
      </c>
      <c r="E2" cm="1">
        <f t="array" ref="E2">INDEX('AC and RGM only'!$N$1:$T$150, MATCH(TRUE, ISNUMBER(SEARCH($B$2, 'AC and RGM only'!$L$1:$L$150)), 0), MATCH(TRUE, ISNUMBER(SEARCH(E$1, 'AC and RGM only'!$D$2:$J$2)), 0))</f>
        <v>65</v>
      </c>
      <c r="G2" cm="1">
        <f t="array" ref="G2">INDEX('AC and RGM only'!$N$1:$T$150, MATCH(TRUE, ISNUMBER(SEARCH($B$2, 'AC and RGM only'!$L$1:$L$150)), 0), MATCH(TRUE, ISNUMBER(SEARCH(G$1, 'AC and RGM only'!$D$2:$J$2)), 0))</f>
        <v>97</v>
      </c>
      <c r="I2" cm="1">
        <f t="array" ref="I2">INDEX('AC and RGM only'!$N$1:$T$150, MATCH(TRUE, ISNUMBER(SEARCH($B$2, 'AC and RGM only'!$L$1:$L$150)), 0), MATCH(TRUE, ISNUMBER(SEARCH(I$1, 'AC and RGM only'!$D$2:$J$2)), 0))</f>
        <v>89</v>
      </c>
      <c r="K2" cm="1">
        <f t="array" ref="K2">INDEX('AC and RGM only'!$N$1:$T$150, MATCH(TRUE, ISNUMBER(SEARCH($B$2, 'AC and RGM only'!$L$1:$L$150)), 0), MATCH(TRUE, ISNUMBER(SEARCH(K$1, 'AC and RGM only'!$D$2:$J$2)), 0))</f>
        <v>122</v>
      </c>
      <c r="M2" cm="1">
        <f t="array" ref="M2">INDEX('AC and RGM only'!$N$1:$T$150, MATCH(TRUE, ISNUMBER(SEARCH($B$2, 'AC and RGM only'!$L$1:$L$150)), 0), MATCH(TRUE, ISNUMBER(SEARCH(M$1, 'AC and RGM only'!$D$2:$J$2)), 0))</f>
        <v>125</v>
      </c>
      <c r="O2" cm="1">
        <f t="array" ref="O2">INDEX('AC and RGM only'!$N$1:$T$150, MATCH(TRUE, ISNUMBER(SEARCH($B$2, 'AC and RGM only'!$L$1:$L$150)), 0), MATCH(TRUE, ISNUMBER(SEARCH(O$1, 'AC and RGM only'!$D$2:$J$2)), 0))</f>
        <v>133</v>
      </c>
      <c r="R2">
        <f>AVERAGE(C2:O2)</f>
        <v>100.57142857142857</v>
      </c>
    </row>
    <row r="3">
      <c r="B3" t="str">
        <v>TACO</v>
      </c>
      <c r="C3" cm="1">
        <f t="array" ref="C3">INDEX('AC and RGM only'!$N$1:$T$150, MATCH(TRUE, ISNUMBER(SEARCH($B$3, 'AC and RGM only'!$L$1:$L$150)), 0), MATCH(TRUE, ISNUMBER(SEARCH(C$1, 'AC and RGM only'!$D$2:$J$2)), 0))</f>
        <v>153</v>
      </c>
      <c r="E3" cm="1">
        <f t="array" ref="E3">INDEX('AC and RGM only'!$N$1:$T$150, MATCH(TRUE, ISNUMBER(SEARCH($B$3, 'AC and RGM only'!$L$1:$L$150)), 0), MATCH(TRUE, ISNUMBER(SEARCH(E$1, 'AC and RGM only'!$D$2:$J$2)), 0))</f>
        <v>130</v>
      </c>
      <c r="G3" cm="1">
        <f t="array" ref="G3">INDEX('AC and RGM only'!$N$1:$T$150, MATCH(TRUE, ISNUMBER(SEARCH($B$3, 'AC and RGM only'!$L$1:$L$150)), 0), MATCH(TRUE, ISNUMBER(SEARCH(G$1, 'AC and RGM only'!$D$2:$J$2)), 0))</f>
        <v>174</v>
      </c>
      <c r="I3" cm="1">
        <f t="array" ref="I3">INDEX('AC and RGM only'!$N$1:$T$150, MATCH(TRUE, ISNUMBER(SEARCH($B$3, 'AC and RGM only'!$L$1:$L$150)), 0), MATCH(TRUE, ISNUMBER(SEARCH(I$1, 'AC and RGM only'!$D$2:$J$2)), 0))</f>
        <v>176</v>
      </c>
      <c r="K3" cm="1">
        <f t="array" ref="K3">INDEX('AC and RGM only'!$N$1:$T$150, MATCH(TRUE, ISNUMBER(SEARCH($B$3, 'AC and RGM only'!$L$1:$L$150)), 0), MATCH(TRUE, ISNUMBER(SEARCH(K$1, 'AC and RGM only'!$D$2:$J$2)), 0))</f>
        <v>288</v>
      </c>
      <c r="M3" cm="1">
        <f t="array" ref="M3">INDEX('AC and RGM only'!$N$1:$T$150, MATCH(TRUE, ISNUMBER(SEARCH($B$3, 'AC and RGM only'!$L$1:$L$150)), 0), MATCH(TRUE, ISNUMBER(SEARCH(M$1, 'AC and RGM only'!$D$2:$J$2)), 0))</f>
        <v>254</v>
      </c>
      <c r="O3" cm="1">
        <f t="array" ref="O3">INDEX('AC and RGM only'!$N$1:$T$150, MATCH(TRUE, ISNUMBER(SEARCH($B$3, 'AC and RGM only'!$L$1:$L$150)), 0), MATCH(TRUE, ISNUMBER(SEARCH(O$1, 'AC and RGM only'!$D$2:$J$2)), 0))</f>
        <v>210</v>
      </c>
      <c r="R3">
        <f>AVERAGE(C3:O3)</f>
        <v>197.85714285714286</v>
      </c>
    </row>
    <row r="4">
      <c r="B4" t="str">
        <v>CINNAMON TWISTS</v>
      </c>
      <c r="C4" cm="1">
        <f t="array" ref="C4">INDEX('AC and RGM only'!$N$1:$T$150, MATCH(TRUE, ISNUMBER(SEARCH($B$4, 'AC and RGM only'!$L$1:$L$150)), 0), MATCH(TRUE, ISNUMBER(SEARCH(C$1, 'AC and RGM only'!$D$2:$J$2)), 0))</f>
        <v>0.01</v>
      </c>
      <c r="E4" cm="1">
        <f t="array" ref="E4">INDEX('AC and RGM only'!$N$1:$T$150, MATCH(TRUE, ISNUMBER(SEARCH($B$4, 'AC and RGM only'!$L$1:$L$150)), 0), MATCH(TRUE, ISNUMBER(SEARCH(E$1, 'AC and RGM only'!$D$2:$J$2)), 0))</f>
        <v>0.01</v>
      </c>
      <c r="G4" cm="1">
        <f t="array" ref="G4">INDEX('AC and RGM only'!$N$1:$T$150, MATCH(TRUE, ISNUMBER(SEARCH($B$4, 'AC and RGM only'!$L$1:$L$150)), 0), MATCH(TRUE, ISNUMBER(SEARCH(G$1, 'AC and RGM only'!$D$2:$J$2)), 0))</f>
        <v>0.01</v>
      </c>
      <c r="I4" cm="1">
        <f t="array" ref="I4">INDEX('AC and RGM only'!$N$1:$T$150, MATCH(TRUE, ISNUMBER(SEARCH($B$4, 'AC and RGM only'!$L$1:$L$150)), 0), MATCH(TRUE, ISNUMBER(SEARCH(I$1, 'AC and RGM only'!$D$2:$J$2)), 0))</f>
        <v>0.02</v>
      </c>
      <c r="K4" cm="1">
        <f t="array" ref="K4">INDEX('AC and RGM only'!$N$1:$T$150, MATCH(TRUE, ISNUMBER(SEARCH($B$4, 'AC and RGM only'!$L$1:$L$150)), 0), MATCH(TRUE, ISNUMBER(SEARCH(K$1, 'AC and RGM only'!$D$2:$J$2)), 0))</f>
        <v>0.02</v>
      </c>
      <c r="M4" cm="1">
        <f t="array" ref="M4">INDEX('AC and RGM only'!$N$1:$T$150, MATCH(TRUE, ISNUMBER(SEARCH($B$4, 'AC and RGM only'!$L$1:$L$150)), 0), MATCH(TRUE, ISNUMBER(SEARCH(M$1, 'AC and RGM only'!$D$2:$J$2)), 0))</f>
        <v>0.03</v>
      </c>
      <c r="O4" cm="1">
        <f t="array" ref="O4">INDEX('AC and RGM only'!$N$1:$T$150, MATCH(TRUE, ISNUMBER(SEARCH($B$4, 'AC and RGM only'!$L$1:$L$150)), 0), MATCH(TRUE, ISNUMBER(SEARCH(O$1, 'AC and RGM only'!$D$2:$J$2)), 0))</f>
        <v>0.02</v>
      </c>
      <c r="R4">
        <f>AVERAGE(C4:O4)</f>
        <v>0.017142857142857144</v>
      </c>
    </row>
    <row r="5">
      <c r="B5" t="str">
        <v>CHIP NACHO CORN</v>
      </c>
      <c r="C5" cm="1">
        <f t="array" ref="C5">INDEX('AC and RGM only'!$N$1:$T$150, MATCH(TRUE, ISNUMBER(SEARCH($B$5, 'AC and RGM only'!$L$1:$L$150)), 0), MATCH(TRUE, ISNUMBER(SEARCH(C$1, 'AC and RGM only'!$D$2:$J$2)), 0))</f>
        <v>0.66</v>
      </c>
      <c r="E5" cm="1">
        <f t="array" ref="E5">INDEX('AC and RGM only'!$N$1:$T$150, MATCH(TRUE, ISNUMBER(SEARCH($B$5, 'AC and RGM only'!$L$1:$L$150)), 0), MATCH(TRUE, ISNUMBER(SEARCH(E$1, 'AC and RGM only'!$D$2:$J$2)), 0))</f>
        <v>0.72</v>
      </c>
      <c r="G5" cm="1">
        <f t="array" ref="G5">INDEX('AC and RGM only'!$N$1:$T$150, MATCH(TRUE, ISNUMBER(SEARCH($B$5, 'AC and RGM only'!$L$1:$L$150)), 0), MATCH(TRUE, ISNUMBER(SEARCH(G$1, 'AC and RGM only'!$D$2:$J$2)), 0))</f>
        <v>0.8</v>
      </c>
      <c r="I5" cm="1">
        <f t="array" ref="I5">INDEX('AC and RGM only'!$N$1:$T$150, MATCH(TRUE, ISNUMBER(SEARCH($B$5, 'AC and RGM only'!$L$1:$L$150)), 0), MATCH(TRUE, ISNUMBER(SEARCH(I$1, 'AC and RGM only'!$D$2:$J$2)), 0))</f>
        <v>0.76</v>
      </c>
      <c r="K5" cm="1">
        <f t="array" ref="K5">INDEX('AC and RGM only'!$N$1:$T$150, MATCH(TRUE, ISNUMBER(SEARCH($B$5, 'AC and RGM only'!$L$1:$L$150)), 0), MATCH(TRUE, ISNUMBER(SEARCH(K$1, 'AC and RGM only'!$D$2:$J$2)), 0))</f>
        <v>0.98</v>
      </c>
      <c r="M5" cm="1">
        <f t="array" ref="M5">INDEX('AC and RGM only'!$N$1:$T$150, MATCH(TRUE, ISNUMBER(SEARCH($B$5, 'AC and RGM only'!$L$1:$L$150)), 0), MATCH(TRUE, ISNUMBER(SEARCH(M$1, 'AC and RGM only'!$D$2:$J$2)), 0))</f>
        <v>1.06</v>
      </c>
      <c r="O5" cm="1">
        <f t="array" ref="O5">INDEX('AC and RGM only'!$N$1:$T$150, MATCH(TRUE, ISNUMBER(SEARCH($B$5, 'AC and RGM only'!$L$1:$L$150)), 0), MATCH(TRUE, ISNUMBER(SEARCH(O$1, 'AC and RGM only'!$D$2:$J$2)), 0))</f>
        <v>0.77</v>
      </c>
      <c r="R5">
        <f>AVERAGE(C5:O5)</f>
        <v>0.8214285714285714</v>
      </c>
    </row>
    <row r="7">
      <c r="B7" t="str">
        <v>ITEM NAME</v>
      </c>
      <c r="C7" t="str">
        <v># OF BAGS</v>
      </c>
      <c r="D7" t="str">
        <v># OF TRAYS</v>
      </c>
      <c r="E7" t="str">
        <v># OF BAGS</v>
      </c>
      <c r="F7" t="str">
        <v># OF TRAYS</v>
      </c>
      <c r="G7" t="str">
        <v># OF BAGS</v>
      </c>
      <c r="H7" t="str">
        <v># OF TRAYS</v>
      </c>
      <c r="I7" t="str">
        <v># OF BAGS</v>
      </c>
      <c r="J7" t="str">
        <v># OF TRAYS</v>
      </c>
      <c r="K7" t="str">
        <v># OF BAGS</v>
      </c>
      <c r="L7" t="str">
        <v># OF TRAYS</v>
      </c>
      <c r="M7" t="str">
        <v># OF BAGS</v>
      </c>
      <c r="N7" t="str">
        <v># OF TRAYS</v>
      </c>
      <c r="O7" t="str">
        <v># OF BAGS</v>
      </c>
      <c r="P7" t="str">
        <v># OF TRAYS</v>
      </c>
      <c r="R7" t="str">
        <v>QUICK GUIDE</v>
      </c>
    </row>
    <row r="8">
      <c r="B8" t="str">
        <v>TOSTADAS</v>
      </c>
      <c r="C8">
        <f>SUM(C2:E2)/36</f>
        <v>3.8333333333333335</v>
      </c>
      <c r="D8">
        <f>ROUNDUP(C8/$T$10,0)</f>
        <v>2</v>
      </c>
      <c r="E8">
        <f>SUM(E2:G2)/36</f>
        <v>4.5</v>
      </c>
      <c r="F8">
        <f>ROUNDUP(E8/$T$10,0)</f>
        <v>2</v>
      </c>
      <c r="G8">
        <f>SUM(G2:I2)/36</f>
        <v>5.166666666666667</v>
      </c>
      <c r="H8">
        <f>ROUNDUP(G8/$T$10,0)</f>
        <v>2</v>
      </c>
      <c r="I8">
        <f>SUM(I2:K2)/36</f>
        <v>5.861111111111111</v>
      </c>
      <c r="J8">
        <f>ROUNDUP(I8/$T$10,0)</f>
        <v>2</v>
      </c>
      <c r="K8">
        <f>SUM(K2+M2)/36</f>
        <v>6.861111111111111</v>
      </c>
      <c r="L8">
        <f>ROUNDUP(K8/$T$10,0)</f>
        <v>3</v>
      </c>
      <c r="M8">
        <f>SUM(M2+O2)/36</f>
        <v>7.166666666666667</v>
      </c>
      <c r="N8">
        <f>ROUNDUP(M8/$T$10,0)</f>
        <v>3</v>
      </c>
      <c r="O8">
        <f>SUM(O2+C2)/36</f>
        <v>5.722222222222222</v>
      </c>
      <c r="P8">
        <f>ROUNDUP(O8/$T$10,0)</f>
        <v>2</v>
      </c>
      <c r="R8" t="str">
        <v>CINNAMON TWISTS</v>
      </c>
      <c r="S8" t="str">
        <v>2 REDS CUP = 1 TRAY</v>
      </c>
    </row>
    <row r="9">
      <c r="B9" t="str">
        <v>TACOS</v>
      </c>
      <c r="C9">
        <f>SUM(C3:E3)/36</f>
        <v>7.861111111111111</v>
      </c>
      <c r="D9">
        <f>ROUNDUP(C9/$T$11,0)</f>
        <v>3</v>
      </c>
      <c r="E9">
        <f>SUM(E3:G3)/36</f>
        <v>8.444444444444445</v>
      </c>
      <c r="F9">
        <f>ROUNDUP(E9/$T$11,0)</f>
        <v>3</v>
      </c>
      <c r="G9">
        <f>SUM(G3:I3)/36</f>
        <v>9.722222222222221</v>
      </c>
      <c r="H9">
        <f>ROUNDUP(G9/$T$11,0)</f>
        <v>4</v>
      </c>
      <c r="I9">
        <f>SUM(I3:K3)/36</f>
        <v>12.88888888888889</v>
      </c>
      <c r="J9">
        <f>ROUNDUP(I9/$T$11,0)</f>
        <v>5</v>
      </c>
      <c r="K9">
        <f>SUM(K3+M3)/36</f>
        <v>15.055555555555555</v>
      </c>
      <c r="L9">
        <f>ROUNDUP(K9/$T$11,0)</f>
        <v>6</v>
      </c>
      <c r="M9">
        <f>SUM(M3+O3)/36</f>
        <v>12.88888888888889</v>
      </c>
      <c r="N9">
        <f>ROUNDUP(M9/$T$11,0)</f>
        <v>5</v>
      </c>
      <c r="O9">
        <f>SUM(O3+C3)/36</f>
        <v>10.083333333333334</v>
      </c>
      <c r="P9">
        <f>ROUNDUP(O9/$T$11,0)</f>
        <v>4</v>
      </c>
      <c r="R9" t="str">
        <v>NACHO CHIPS</v>
      </c>
      <c r="S9" t="str">
        <v>1 BOX = 1.5 LARGE TUBS</v>
      </c>
    </row>
    <row r="10" xml:space="preserve">
      <c r="B10" t="str">
        <v>CINNAMON TWISTS</v>
      </c>
      <c r="C10" cm="1" xml:space="preserve">
        <f t="array" ref="C10" xml:space="preserve">LET(
     _xlpm.GRAMSOFTWIST,C4,
     _xlpm.GRAMSPERCUP,10,
_xlpm.GRAMSOFTWIST*_xlpm.GRAMSPERCUP)</f>
        <v>0.1</v>
      </c>
      <c r="D10">
        <f>C10/0.15</f>
        <v>0.6666666666666667</v>
      </c>
      <c r="E10" cm="1" xml:space="preserve">
        <f t="array" ref="E10" xml:space="preserve">LET(
     _xlpm.GRAMSOFTWIST,E4,
     _xlpm.GRAMSPERCUP,10,
_xlpm.GRAMSOFTWIST*_xlpm.GRAMSPERCUP)</f>
        <v>0.1</v>
      </c>
      <c r="F10">
        <f>E10/0.15</f>
        <v>0.6666666666666667</v>
      </c>
      <c r="G10" cm="1" xml:space="preserve">
        <f t="array" ref="G10" xml:space="preserve">LET(
     _xlpm.GRAMSOFTWIST,G4,
     _xlpm.GRAMSPERCUP,10,
_xlpm.GRAMSOFTWIST*_xlpm.GRAMSPERCUP)</f>
        <v>0.1</v>
      </c>
      <c r="H10">
        <f>G10/0.15</f>
        <v>0.6666666666666667</v>
      </c>
      <c r="I10" cm="1" xml:space="preserve">
        <f t="array" ref="I10" xml:space="preserve">LET(
     _xlpm.GRAMSOFTWIST,I4,
     _xlpm.GRAMSPERCUP,10,
_xlpm.GRAMSOFTWIST*_xlpm.GRAMSPERCUP)</f>
        <v>0.2</v>
      </c>
      <c r="J10">
        <f>I10/0.15</f>
        <v>1.3333333333333335</v>
      </c>
      <c r="K10" cm="1" xml:space="preserve">
        <f t="array" ref="K10" xml:space="preserve">LET(
     _xlpm.GRAMSOFTWIST,K4,
     _xlpm.GRAMSPERCUP,10,
_xlpm.GRAMSOFTWIST*_xlpm.GRAMSPERCUP)</f>
        <v>0.2</v>
      </c>
      <c r="L10">
        <f>K10/0.15</f>
        <v>1.3333333333333335</v>
      </c>
      <c r="M10" cm="1" xml:space="preserve">
        <f t="array" ref="M10" xml:space="preserve">LET(
     _xlpm.GRAMSOFTWIST,M4,
     _xlpm.GRAMSPERCUP,10,
_xlpm.GRAMSOFTWIST*_xlpm.GRAMSPERCUP)</f>
        <v>0.3</v>
      </c>
      <c r="N10">
        <f>M10/0.15</f>
        <v>2</v>
      </c>
      <c r="O10" cm="1" xml:space="preserve">
        <f t="array" ref="O10" xml:space="preserve">LET(
     _xlpm.GRAMSOFTWIST,O4,
     _xlpm.GRAMSPERCUP,10,
_xlpm.GRAMSOFTWIST*_xlpm.GRAMSPERCUP)</f>
        <v>0.2</v>
      </c>
      <c r="P10">
        <f>O10/0.15</f>
        <v>1.3333333333333335</v>
      </c>
      <c r="R10" t="str">
        <v>TOSTADAS</v>
      </c>
      <c r="S10" t="str">
        <v xml:space="preserve">Bags Per Tray </v>
      </c>
      <c r="T10">
        <v>3</v>
      </c>
    </row>
    <row r="11">
      <c r="B11" t="str">
        <v>NACHOS</v>
      </c>
      <c r="C11">
        <f>SUM(C5:E5)</f>
        <v>1.38</v>
      </c>
      <c r="E11">
        <f>SUM(E5:G5)</f>
        <v>1.52</v>
      </c>
      <c r="G11">
        <f>SUM(G5:I5)</f>
        <v>1.56</v>
      </c>
      <c r="I11">
        <f>SUM(I5:K5)</f>
        <v>1.74</v>
      </c>
      <c r="K11">
        <f>SUM(K5+M5)</f>
        <v>2.04</v>
      </c>
      <c r="M11">
        <f>SUM(M5+O5)</f>
        <v>1.83</v>
      </c>
      <c r="O11">
        <f>SUM(O5+C5)</f>
        <v>1.4300000000000002</v>
      </c>
      <c r="R11" t="str">
        <v>TACOS</v>
      </c>
      <c r="S11" t="str">
        <v xml:space="preserve">Bags Per Tray </v>
      </c>
      <c r="T11">
        <v>3</v>
      </c>
    </row>
    <row r="14">
      <c r="E14" t="str">
        <v>WEEKLY FRY PREP BUILD TOS</v>
      </c>
      <c r="O14" t="str">
        <v>Data Range:</v>
      </c>
    </row>
    <row r="15">
      <c r="O15" t="str">
        <f>TRIM(RIGHT(SUBSTITUTE('AC and RGM only'!D2,CHAR(10),REPT(" ",100)),100)) &amp; " to " &amp; TRIM(RIGHT(SUBSTITUTE('AC and RGM only'!J2,CHAR(10),REPT(" ",100)),100))</f>
        <v>14-Jul-26 to 20-Jul-26</v>
      </c>
    </row>
    <row r="17">
      <c r="C17" t="str">
        <v>MONDAY</v>
      </c>
      <c r="H17" t="str">
        <v>TUESDAY</v>
      </c>
      <c r="M17" t="str">
        <v>WEDNESDAY</v>
      </c>
    </row>
    <row r="18">
      <c r="C18" t="str">
        <v>ITEM</v>
      </c>
      <c r="E18" t="str">
        <v>AMOUNT</v>
      </c>
      <c r="H18" t="str">
        <v>ITEM</v>
      </c>
      <c r="J18" t="str">
        <v>AMOUNT</v>
      </c>
      <c r="M18" t="str">
        <v>ITEM</v>
      </c>
      <c r="O18" t="str">
        <v>AMOUNT</v>
      </c>
    </row>
    <row r="19">
      <c r="C19" t="str">
        <v>TOSTADAS</v>
      </c>
      <c r="E19" t="str">
        <f>D8 &amp; " TRAYS"</f>
        <v>2 TRAYS</v>
      </c>
      <c r="H19" t="str">
        <v>TOSTADAS</v>
      </c>
      <c r="J19" t="str">
        <f>F8 &amp; " TRAYS"</f>
        <v>2 TRAYS</v>
      </c>
      <c r="M19" t="str">
        <v>TOSTADAS</v>
      </c>
      <c r="O19" t="str">
        <f>H8 &amp; " TRAYS"</f>
        <v>2 TRAYS</v>
      </c>
    </row>
    <row r="20">
      <c r="C20" t="str">
        <v>TACOS</v>
      </c>
      <c r="E20" t="str">
        <f>D9 &amp; " TRAYS"</f>
        <v>3 TRAYS</v>
      </c>
      <c r="H20" t="str">
        <v>TACOS</v>
      </c>
      <c r="J20" t="str">
        <f>F9 &amp; " TRAYS"</f>
        <v>3 TRAYS</v>
      </c>
      <c r="M20" t="str">
        <v>TACOS</v>
      </c>
      <c r="O20" t="str">
        <f>H9 &amp; " TRAYS"</f>
        <v>4 TRAYS</v>
      </c>
    </row>
    <row r="21">
      <c r="C21" t="str">
        <v>CINNAMON TWISTS</v>
      </c>
      <c r="E21" t="str">
        <f>ROUNDUP(D10,0) &amp; " RED CUPS"</f>
        <v>1 RED CUPS</v>
      </c>
      <c r="H21" t="str">
        <v>CINNAMON TWISTS</v>
      </c>
      <c r="J21" t="str">
        <f>ROUNDUP(F10,0) &amp; " RED CUPS"</f>
        <v>1 RED CUPS</v>
      </c>
      <c r="M21" t="str">
        <v>CINNAMON TWISTS</v>
      </c>
      <c r="O21" t="str">
        <f>ROUNDUP(H10,0) &amp; " RED CUPS"</f>
        <v>1 RED CUPS</v>
      </c>
    </row>
    <row r="22" xml:space="preserve">
      <c r="C22" t="str">
        <v>NACHOS</v>
      </c>
      <c r="E22" t="str" xml:space="preserve">
        <f xml:space="preserve">LET(_xlpm.NumberOfBoxes,C11,
     _xlpm.NumberOfTubsPerBox,1.5,
     _xlpm.RoundTo,0.5,
MROUND(_xlpm.NumberOfBoxes*_xlpm.NumberOfTubsPerBox,_xlpm.RoundTo)&amp;" TUBS")</f>
        <v>2 TUBS</v>
      </c>
      <c r="H22" t="str">
        <v>NACHOS</v>
      </c>
      <c r="J22" t="str" xml:space="preserve">
        <f xml:space="preserve">LET(_xlpm.NumberOfBoxes,E11,
     _xlpm.NumberOfTubsPerBox,1.5,
     _xlpm.RoundTo,0.5,
MROUND(_xlpm.NumberOfBoxes*_xlpm.NumberOfTubsPerBox,_xlpm.RoundTo)&amp;" TUBS")</f>
        <v>2.5 TUBS</v>
      </c>
      <c r="M22" t="str">
        <v>NACHOS</v>
      </c>
      <c r="O22" t="str" xml:space="preserve">
        <f xml:space="preserve">LET(_xlpm.NumberOfBoxes,G11,
     _xlpm.NumberOfTubsPerBox,1.5,
     _xlpm.RoundTo,0.5,
MROUND(_xlpm.NumberOfBoxes*_xlpm.NumberOfTubsPerBox,_xlpm.RoundTo)&amp;" TUBS")</f>
        <v>2.5 TUBS</v>
      </c>
    </row>
    <row r="24">
      <c r="C24" t="str">
        <v>THURSDAY</v>
      </c>
      <c r="H24" t="str">
        <v>FRIDAY</v>
      </c>
      <c r="M24" t="str">
        <v>SATURDAY</v>
      </c>
    </row>
    <row r="25">
      <c r="C25" t="str">
        <v>ITEM</v>
      </c>
      <c r="E25" t="str">
        <v>AMOUNT</v>
      </c>
      <c r="H25" t="str">
        <v>ITEM</v>
      </c>
      <c r="J25" t="str">
        <v>AMOUNT</v>
      </c>
      <c r="M25" t="str">
        <v>ITEM</v>
      </c>
      <c r="O25" t="str">
        <v>AMOUNT</v>
      </c>
    </row>
    <row r="26">
      <c r="C26" t="str">
        <v>TOSTADAS</v>
      </c>
      <c r="E26" t="str">
        <f>J8 &amp; " TRAYS"</f>
        <v>2 TRAYS</v>
      </c>
      <c r="H26" t="str">
        <v>TOSTADAS</v>
      </c>
      <c r="J26" t="str">
        <f>L8 &amp; " TRAYS"</f>
        <v>3 TRAYS</v>
      </c>
      <c r="M26" t="str">
        <v>TOSTADAS</v>
      </c>
      <c r="O26" t="str">
        <f>N8 &amp; " TRAYS"</f>
        <v>3 TRAYS</v>
      </c>
    </row>
    <row r="27">
      <c r="C27" t="str">
        <v>TACOS</v>
      </c>
      <c r="E27" t="str">
        <f>J9 &amp; " TRAYS"</f>
        <v>5 TRAYS</v>
      </c>
      <c r="H27" t="str">
        <v>TACOS</v>
      </c>
      <c r="J27" t="str">
        <f>L9 &amp; " TRAYS"</f>
        <v>6 TRAYS</v>
      </c>
      <c r="M27" t="str">
        <v>TACOS</v>
      </c>
      <c r="O27" t="str">
        <f>N9 &amp; " TRAYS"</f>
        <v>5 TRAYS</v>
      </c>
    </row>
    <row r="28">
      <c r="C28" t="str">
        <v>CINNAMON TWISTS</v>
      </c>
      <c r="E28" t="str">
        <f>ROUNDUP(J10,0) &amp; " RED CUPS"</f>
        <v>2 RED CUPS</v>
      </c>
      <c r="H28" t="str">
        <v>CINNAMON TWISTS</v>
      </c>
      <c r="J28" t="str">
        <f>ROUNDUP(L10,0) &amp; " RED CUPS"</f>
        <v>2 RED CUPS</v>
      </c>
      <c r="M28" t="str">
        <v>CINNAMON TWISTS</v>
      </c>
      <c r="O28" t="str">
        <f>ROUNDUP(N10,0) &amp; " RED CUPS"</f>
        <v>2 RED CUPS</v>
      </c>
    </row>
    <row r="29" xml:space="preserve">
      <c r="C29" t="str">
        <v>NACHOS</v>
      </c>
      <c r="E29" t="str" xml:space="preserve">
        <f xml:space="preserve">LET(_xlpm.NumberOfBoxes,I11,
     _xlpm.NumberOfTubsPerBox,1.5,
     _xlpm.RoundTo,0.5,
MROUND(_xlpm.NumberOfBoxes*_xlpm.NumberOfTubsPerBox,_xlpm.RoundTo)&amp;" TUBS")</f>
        <v>2.5 TUBS</v>
      </c>
      <c r="H29" t="str">
        <v>NACHOS</v>
      </c>
      <c r="J29" t="str" xml:space="preserve">
        <f xml:space="preserve">LET(_xlpm.NumberOfBoxes,K11,
     _xlpm.NumberOfTubsPerBox,1.5,
     _xlpm.RoundTo,0.5,
MROUND(_xlpm.NumberOfBoxes*_xlpm.NumberOfTubsPerBox,_xlpm.RoundTo)&amp;" TUBS")</f>
        <v>3 TUBS</v>
      </c>
      <c r="M29" t="str">
        <v>NACHOS</v>
      </c>
      <c r="O29" t="str" xml:space="preserve">
        <f xml:space="preserve">LET(_xlpm.NumberOfBoxes,M11,
     _xlpm.NumberOfTubsPerBox,1.5,
     _xlpm.RoundTo,0.5,
MROUND(_xlpm.NumberOfBoxes*_xlpm.NumberOfTubsPerBox,_xlpm.RoundTo)&amp;" TUBS")</f>
        <v>2.5 TUBS</v>
      </c>
    </row>
    <row r="31">
      <c r="H31" t="str">
        <v>SUNDAY</v>
      </c>
    </row>
    <row r="32">
      <c r="H32" t="str">
        <v>ITEM</v>
      </c>
      <c r="J32" t="str">
        <v>AMOUNT</v>
      </c>
    </row>
    <row r="33">
      <c r="H33" t="str">
        <v>TOSTADAS</v>
      </c>
      <c r="J33" t="str">
        <f>P8 &amp; " TRAYS"</f>
        <v>2 TRAYS</v>
      </c>
    </row>
    <row r="34">
      <c r="H34" t="str">
        <v>TACOS</v>
      </c>
      <c r="J34" t="str">
        <f>P9 &amp; " TRAYS"</f>
        <v>4 TRAYS</v>
      </c>
    </row>
    <row r="35">
      <c r="H35" t="str">
        <v>CINNAMON TWISTS</v>
      </c>
      <c r="J35" t="str">
        <f>ROUNDUP(P10,0) &amp; " RED CUPS"</f>
        <v>2 RED CUPS</v>
      </c>
    </row>
    <row r="36" xml:space="preserve">
      <c r="H36" t="str">
        <v>NACHOS</v>
      </c>
      <c r="J36" t="str" xml:space="preserve">
        <f xml:space="preserve">LET(_xlpm.NumberOfBoxes,O11,
     _xlpm.NumberOfTubsPerBox,1.5,
     _xlpm.RoundTo,0.5,
MROUND(_xlpm.NumberOfBoxes*_xlpm.NumberOfTubsPerBox,_xlpm.RoundTo)&amp;" TUBS")</f>
        <v>2 TUBS</v>
      </c>
    </row>
    <row r="38">
      <c r="C38" t="str">
        <v>VALUES FOR TRAYS ROUNDED UP BASED OFF MAKING 5 ROWS OF 16 TACOS (2 BASKETS PER ROW, 80 TACOS PER TRAY)</v>
      </c>
    </row>
    <row r="40">
      <c r="B40" t="str">
        <v>ITEM NAME</v>
      </c>
      <c r="C40" t="str">
        <v>MONDAY</v>
      </c>
      <c r="E40" t="str">
        <v>TUESDAY</v>
      </c>
      <c r="G40" t="str">
        <v>WEDNESDAY</v>
      </c>
      <c r="I40" t="str">
        <v>THURSDAY</v>
      </c>
      <c r="K40" t="str">
        <v>FRIDAY</v>
      </c>
      <c r="M40" t="str">
        <v>SATURDAY</v>
      </c>
      <c r="O40" t="str">
        <v>SUNDAY</v>
      </c>
      <c r="R40" t="str">
        <v>DAILY AVG</v>
      </c>
    </row>
    <row r="41">
      <c r="B41" t="str">
        <v>CREAM SOUR</v>
      </c>
      <c r="C41" cm="1">
        <f t="array" ref="C41">INDEX('AC and RGM only'!$N$1:$T$150, MATCH(TRUE, ISNUMBER(SEARCH($B$41, 'AC and RGM only'!$L$1:$L$150)), 0), MATCH(TRUE, ISNUMBER(SEARCH(C$40, 'AC and RGM only'!$D$2:$J$2)), 0))</f>
        <v>0.81</v>
      </c>
      <c r="E41" cm="1">
        <f t="array" ref="E41">INDEX('AC and RGM only'!$N$1:$T$150, MATCH(TRUE, ISNUMBER(SEARCH($B$41, 'AC and RGM only'!$L$1:$L$150)), 0), MATCH(TRUE, ISNUMBER(SEARCH(E$40, 'AC and RGM only'!$D$2:$J$2)), 0))</f>
        <v>0.81</v>
      </c>
      <c r="G41" cm="1">
        <f t="array" ref="G41">INDEX('AC and RGM only'!$N$1:$T$150, MATCH(TRUE, ISNUMBER(SEARCH($B$41, 'AC and RGM only'!$L$1:$L$150)), 0), MATCH(TRUE, ISNUMBER(SEARCH(G$40, 'AC and RGM only'!$D$2:$J$2)), 0))</f>
        <v>0.88</v>
      </c>
      <c r="I41" cm="1">
        <f t="array" ref="I41">INDEX('AC and RGM only'!$N$1:$T$150, MATCH(TRUE, ISNUMBER(SEARCH($B$41, 'AC and RGM only'!$L$1:$L$150)), 0), MATCH(TRUE, ISNUMBER(SEARCH(I$40, 'AC and RGM only'!$D$2:$J$2)), 0))</f>
        <v>0.91</v>
      </c>
      <c r="K41" cm="1">
        <f t="array" ref="K41">INDEX('AC and RGM only'!$N$1:$T$150, MATCH(TRUE, ISNUMBER(SEARCH($B$41, 'AC and RGM only'!$L$1:$L$150)), 0), MATCH(TRUE, ISNUMBER(SEARCH(K$40, 'AC and RGM only'!$D$2:$J$2)), 0))</f>
        <v>1.23</v>
      </c>
      <c r="M41" cm="1">
        <f t="array" ref="M41">INDEX('AC and RGM only'!$N$1:$T$150, MATCH(TRUE, ISNUMBER(SEARCH($B$41, 'AC and RGM only'!$L$1:$L$150)), 0), MATCH(TRUE, ISNUMBER(SEARCH(M$40, 'AC and RGM only'!$D$2:$J$2)), 0))</f>
        <v>1.25</v>
      </c>
      <c r="O41" cm="1">
        <f t="array" ref="O41">INDEX('AC and RGM only'!$N$1:$T$150, MATCH(TRUE, ISNUMBER(SEARCH($B$41, 'AC and RGM only'!$L$1:$L$150)), 0), MATCH(TRUE, ISNUMBER(SEARCH(O$40, 'AC and RGM only'!$D$2:$J$2)), 0))</f>
        <v>1.17</v>
      </c>
      <c r="R41">
        <f>AVERAGE(C41:O41)</f>
        <v>1.0085714285714287</v>
      </c>
    </row>
    <row r="42">
      <c r="B42" t="str">
        <v>ZESTY</v>
      </c>
      <c r="C42" cm="1">
        <f t="array" ref="C42">INDEX('AC and RGM only'!$N$1:$T$150, MATCH(TRUE, ISNUMBER(SEARCH($B$42, 'AC and RGM only'!$L$1:$L$150)), 0), MATCH(TRUE, ISNUMBER(SEARCH(C$40, 'AC and RGM only'!$D$2:$J$2)), 0))</f>
        <v>0.18</v>
      </c>
      <c r="E42" cm="1">
        <f t="array" ref="E42">INDEX('AC and RGM only'!$N$1:$T$150, MATCH(TRUE, ISNUMBER(SEARCH($B$42, 'AC and RGM only'!$L$1:$L$150)), 0), MATCH(TRUE, ISNUMBER(SEARCH(E$40, 'AC and RGM only'!$D$2:$J$2)), 0))</f>
        <v>0.23</v>
      </c>
      <c r="G42" cm="1">
        <f t="array" ref="G42">INDEX('AC and RGM only'!$N$1:$T$150, MATCH(TRUE, ISNUMBER(SEARCH($B$42, 'AC and RGM only'!$L$1:$L$150)), 0), MATCH(TRUE, ISNUMBER(SEARCH(G$40, 'AC and RGM only'!$D$2:$J$2)), 0))</f>
        <v>0.28</v>
      </c>
      <c r="I42" cm="1">
        <f t="array" ref="I42">INDEX('AC and RGM only'!$N$1:$T$150, MATCH(TRUE, ISNUMBER(SEARCH($B$42, 'AC and RGM only'!$L$1:$L$150)), 0), MATCH(TRUE, ISNUMBER(SEARCH(I$40, 'AC and RGM only'!$D$2:$J$2)), 0))</f>
        <v>0.29</v>
      </c>
      <c r="K42" cm="1">
        <f t="array" ref="K42">INDEX('AC and RGM only'!$N$1:$T$150, MATCH(TRUE, ISNUMBER(SEARCH($B$42, 'AC and RGM only'!$L$1:$L$150)), 0), MATCH(TRUE, ISNUMBER(SEARCH(K$40, 'AC and RGM only'!$D$2:$J$2)), 0))</f>
        <v>0.39</v>
      </c>
      <c r="M42" cm="1">
        <f t="array" ref="M42">INDEX('AC and RGM only'!$N$1:$T$150, MATCH(TRUE, ISNUMBER(SEARCH($B$42, 'AC and RGM only'!$L$1:$L$150)), 0), MATCH(TRUE, ISNUMBER(SEARCH(M$40, 'AC and RGM only'!$D$2:$J$2)), 0))</f>
        <v>0.38</v>
      </c>
      <c r="O42" cm="1">
        <f t="array" ref="O42">INDEX('AC and RGM only'!$N$1:$T$150, MATCH(TRUE, ISNUMBER(SEARCH($B$42, 'AC and RGM only'!$L$1:$L$150)), 0), MATCH(TRUE, ISNUMBER(SEARCH(O$40, 'AC and RGM only'!$D$2:$J$2)), 0))</f>
        <v>0.34</v>
      </c>
      <c r="R42">
        <f>AVERAGE(C42:O42)</f>
        <v>0.29857142857142854</v>
      </c>
    </row>
    <row r="43">
      <c r="B43" t="str">
        <v>CHIPOTLE</v>
      </c>
      <c r="C43" cm="1">
        <f t="array" ref="C43">INDEX('AC and RGM only'!$N$1:$T$150, MATCH(TRUE, ISNUMBER(SEARCH($B$43, 'AC and RGM only'!$L$1:$L$150)), 0), MATCH(TRUE, ISNUMBER(SEARCH(C$40, 'AC and RGM only'!$D$2:$J$2)), 0))</f>
        <v>0.11</v>
      </c>
      <c r="E43" cm="1">
        <f t="array" ref="E43">INDEX('AC and RGM only'!$N$1:$T$150, MATCH(TRUE, ISNUMBER(SEARCH($B$43, 'AC and RGM only'!$L$1:$L$150)), 0), MATCH(TRUE, ISNUMBER(SEARCH(E$40, 'AC and RGM only'!$D$2:$J$2)), 0))</f>
        <v>0.08</v>
      </c>
      <c r="G43" cm="1">
        <f t="array" ref="G43">INDEX('AC and RGM only'!$N$1:$T$150, MATCH(TRUE, ISNUMBER(SEARCH($B$43, 'AC and RGM only'!$L$1:$L$150)), 0), MATCH(TRUE, ISNUMBER(SEARCH(G$40, 'AC and RGM only'!$D$2:$J$2)), 0))</f>
        <v>0.17</v>
      </c>
      <c r="I43" cm="1">
        <f t="array" ref="I43">INDEX('AC and RGM only'!$N$1:$T$150, MATCH(TRUE, ISNUMBER(SEARCH($B$43, 'AC and RGM only'!$L$1:$L$150)), 0), MATCH(TRUE, ISNUMBER(SEARCH(I$40, 'AC and RGM only'!$D$2:$J$2)), 0))</f>
        <v>0.2</v>
      </c>
      <c r="K43" cm="1">
        <f t="array" ref="K43">INDEX('AC and RGM only'!$N$1:$T$150, MATCH(TRUE, ISNUMBER(SEARCH($B$43, 'AC and RGM only'!$L$1:$L$150)), 0), MATCH(TRUE, ISNUMBER(SEARCH(K$40, 'AC and RGM only'!$D$2:$J$2)), 0))</f>
        <v>0.16</v>
      </c>
      <c r="M43" cm="1">
        <f t="array" ref="M43">INDEX('AC and RGM only'!$N$1:$T$150, MATCH(TRUE, ISNUMBER(SEARCH($B$43, 'AC and RGM only'!$L$1:$L$150)), 0), MATCH(TRUE, ISNUMBER(SEARCH(M$40, 'AC and RGM only'!$D$2:$J$2)), 0))</f>
        <v>0.2</v>
      </c>
      <c r="O43" cm="1">
        <f t="array" ref="O43">INDEX('AC and RGM only'!$N$1:$T$150, MATCH(TRUE, ISNUMBER(SEARCH($B$43, 'AC and RGM only'!$L$1:$L$150)), 0), MATCH(TRUE, ISNUMBER(SEARCH(O$40, 'AC and RGM only'!$D$2:$J$2)), 0))</f>
        <v>0.2</v>
      </c>
      <c r="R43">
        <f>AVERAGE(C43:O43)</f>
        <v>0.16</v>
      </c>
    </row>
    <row r="44">
      <c r="B44" t="str">
        <v>LAVA</v>
      </c>
      <c r="C44" cm="1">
        <f t="array" ref="C44">INDEX('AC and RGM only'!$N$1:$T$150, MATCH(TRUE, ISNUMBER(SEARCH($B$44, 'AC and RGM only'!$L$1:$L$150)), 0), MATCH(TRUE, ISNUMBER(SEARCH(C$40, 'AC and RGM only'!$D$2:$J$2)), 0))</f>
        <v>0.12</v>
      </c>
      <c r="E44" cm="1">
        <f t="array" ref="E44">INDEX('AC and RGM only'!$N$1:$T$150, MATCH(TRUE, ISNUMBER(SEARCH($B$44, 'AC and RGM only'!$L$1:$L$150)), 0), MATCH(TRUE, ISNUMBER(SEARCH(E$40, 'AC and RGM only'!$D$2:$J$2)), 0))</f>
        <v>0.16</v>
      </c>
      <c r="G44" cm="1">
        <f t="array" ref="G44">INDEX('AC and RGM only'!$N$1:$T$150, MATCH(TRUE, ISNUMBER(SEARCH($B$44, 'AC and RGM only'!$L$1:$L$150)), 0), MATCH(TRUE, ISNUMBER(SEARCH(G$40, 'AC and RGM only'!$D$2:$J$2)), 0))</f>
        <v>0.13</v>
      </c>
      <c r="I44" cm="1">
        <f t="array" ref="I44">INDEX('AC and RGM only'!$N$1:$T$150, MATCH(TRUE, ISNUMBER(SEARCH($B$44, 'AC and RGM only'!$L$1:$L$150)), 0), MATCH(TRUE, ISNUMBER(SEARCH(I$40, 'AC and RGM only'!$D$2:$J$2)), 0))</f>
        <v>0.16</v>
      </c>
      <c r="K44" cm="1">
        <f t="array" ref="K44">INDEX('AC and RGM only'!$N$1:$T$150, MATCH(TRUE, ISNUMBER(SEARCH($B$44, 'AC and RGM only'!$L$1:$L$150)), 0), MATCH(TRUE, ISNUMBER(SEARCH(K$40, 'AC and RGM only'!$D$2:$J$2)), 0))</f>
        <v>0.23</v>
      </c>
      <c r="M44" cm="1">
        <f t="array" ref="M44">INDEX('AC and RGM only'!$N$1:$T$150, MATCH(TRUE, ISNUMBER(SEARCH($B$44, 'AC and RGM only'!$L$1:$L$150)), 0), MATCH(TRUE, ISNUMBER(SEARCH(M$40, 'AC and RGM only'!$D$2:$J$2)), 0))</f>
        <v>0.16</v>
      </c>
      <c r="O44" cm="1">
        <f t="array" ref="O44">INDEX('AC and RGM only'!$N$1:$T$150, MATCH(TRUE, ISNUMBER(SEARCH($B$44, 'AC and RGM only'!$L$1:$L$150)), 0), MATCH(TRUE, ISNUMBER(SEARCH(O$40, 'AC and RGM only'!$D$2:$J$2)), 0))</f>
        <v>0.17</v>
      </c>
      <c r="R44">
        <f>AVERAGE(C44:O44)</f>
        <v>0.16142857142857145</v>
      </c>
    </row>
    <row r="45">
      <c r="B45" t="str">
        <v>CREAMY J</v>
      </c>
      <c r="C45" cm="1">
        <f t="array" ref="C45">INDEX('AC and RGM only'!$N$1:$T$150, MATCH(TRUE, ISNUMBER(SEARCH($B$45, 'AC and RGM only'!$L$1:$L$150)), 0), MATCH(TRUE, ISNUMBER(SEARCH(C$40, 'AC and RGM only'!$D$2:$J$2)), 0))</f>
        <v>0.04</v>
      </c>
      <c r="E45" cm="1">
        <f t="array" ref="E45">INDEX('AC and RGM only'!$N$1:$T$150, MATCH(TRUE, ISNUMBER(SEARCH($B$45, 'AC and RGM only'!$L$1:$L$150)), 0), MATCH(TRUE, ISNUMBER(SEARCH(E$40, 'AC and RGM only'!$D$2:$J$2)), 0))</f>
        <v>0.04</v>
      </c>
      <c r="G45" cm="1">
        <f t="array" ref="G45">INDEX('AC and RGM only'!$N$1:$T$150, MATCH(TRUE, ISNUMBER(SEARCH($B$45, 'AC and RGM only'!$L$1:$L$150)), 0), MATCH(TRUE, ISNUMBER(SEARCH(G$40, 'AC and RGM only'!$D$2:$J$2)), 0))</f>
        <v>0.08</v>
      </c>
      <c r="I45" cm="1">
        <f t="array" ref="I45">INDEX('AC and RGM only'!$N$1:$T$150, MATCH(TRUE, ISNUMBER(SEARCH($B$45, 'AC and RGM only'!$L$1:$L$150)), 0), MATCH(TRUE, ISNUMBER(SEARCH(I$40, 'AC and RGM only'!$D$2:$J$2)), 0))</f>
        <v>0.1</v>
      </c>
      <c r="K45" cm="1">
        <f t="array" ref="K45">INDEX('AC and RGM only'!$N$1:$T$150, MATCH(TRUE, ISNUMBER(SEARCH($B$45, 'AC and RGM only'!$L$1:$L$150)), 0), MATCH(TRUE, ISNUMBER(SEARCH(K$40, 'AC and RGM only'!$D$2:$J$2)), 0))</f>
        <v>0.08</v>
      </c>
      <c r="M45" cm="1">
        <f t="array" ref="M45">INDEX('AC and RGM only'!$N$1:$T$150, MATCH(TRUE, ISNUMBER(SEARCH($B$45, 'AC and RGM only'!$L$1:$L$150)), 0), MATCH(TRUE, ISNUMBER(SEARCH(M$40, 'AC and RGM only'!$D$2:$J$2)), 0))</f>
        <v>0.09</v>
      </c>
      <c r="O45" cm="1">
        <f t="array" ref="O45">INDEX('AC and RGM only'!$N$1:$T$150, MATCH(TRUE, ISNUMBER(SEARCH($B$45, 'AC and RGM only'!$L$1:$L$150)), 0), MATCH(TRUE, ISNUMBER(SEARCH(O$40, 'AC and RGM only'!$D$2:$J$2)), 0))</f>
        <v>0.09</v>
      </c>
      <c r="R45">
        <f>AVERAGE(C45:O45)</f>
        <v>0.07428571428571429</v>
      </c>
    </row>
    <row r="46">
      <c r="B46" t="str">
        <v>MILD</v>
      </c>
      <c r="C46" cm="1">
        <f t="array" ref="C46">INDEX('AC and RGM only'!$N$1:$T$150, MATCH(TRUE, ISNUMBER(SEARCH($B$46, 'AC and RGM only'!$L$1:$L$150)), 0), MATCH(TRUE, ISNUMBER(SEARCH(C$40, 'AC and RGM only'!$D$2:$J$2)), 0))</f>
        <v>0.18</v>
      </c>
      <c r="E46" cm="1">
        <f t="array" ref="E46">INDEX('AC and RGM only'!$N$1:$T$150, MATCH(TRUE, ISNUMBER(SEARCH($B$46, 'AC and RGM only'!$L$1:$L$150)), 0), MATCH(TRUE, ISNUMBER(SEARCH(E$40, 'AC and RGM only'!$D$2:$J$2)), 0))</f>
        <v>0.16</v>
      </c>
      <c r="G46" cm="1">
        <f t="array" ref="G46">INDEX('AC and RGM only'!$N$1:$T$150, MATCH(TRUE, ISNUMBER(SEARCH($B$46, 'AC and RGM only'!$L$1:$L$150)), 0), MATCH(TRUE, ISNUMBER(SEARCH(G$40, 'AC and RGM only'!$D$2:$J$2)), 0))</f>
        <v>0.26</v>
      </c>
      <c r="I46" cm="1">
        <f t="array" ref="I46">INDEX('AC and RGM only'!$N$1:$T$150, MATCH(TRUE, ISNUMBER(SEARCH($B$46, 'AC and RGM only'!$L$1:$L$150)), 0), MATCH(TRUE, ISNUMBER(SEARCH(I$40, 'AC and RGM only'!$D$2:$J$2)), 0))</f>
        <v>0.22</v>
      </c>
      <c r="K46" cm="1">
        <f t="array" ref="K46">INDEX('AC and RGM only'!$N$1:$T$150, MATCH(TRUE, ISNUMBER(SEARCH($B$46, 'AC and RGM only'!$L$1:$L$150)), 0), MATCH(TRUE, ISNUMBER(SEARCH(K$40, 'AC and RGM only'!$D$2:$J$2)), 0))</f>
        <v>0.28</v>
      </c>
      <c r="M46" cm="1">
        <f t="array" ref="M46">INDEX('AC and RGM only'!$N$1:$T$150, MATCH(TRUE, ISNUMBER(SEARCH($B$46, 'AC and RGM only'!$L$1:$L$150)), 0), MATCH(TRUE, ISNUMBER(SEARCH(M$40, 'AC and RGM only'!$D$2:$J$2)), 0))</f>
        <v>0.28</v>
      </c>
      <c r="O46" cm="1">
        <f t="array" ref="O46">INDEX('AC and RGM only'!$N$1:$T$150, MATCH(TRUE, ISNUMBER(SEARCH($B$46, 'AC and RGM only'!$L$1:$L$150)), 0), MATCH(TRUE, ISNUMBER(SEARCH(O$40, 'AC and RGM only'!$D$2:$J$2)), 0))</f>
        <v>0.22</v>
      </c>
      <c r="R46">
        <f>AVERAGE(C46:O46)</f>
        <v>0.2285714285714286</v>
      </c>
    </row>
    <row r="47">
      <c r="B47" t="str">
        <v>FIRE</v>
      </c>
      <c r="C47" cm="1">
        <f t="array" ref="C47">INDEX('AC and RGM only'!$N3:$T152, MATCH(TRUE, ISNUMBER(SEARCH($B$47, 'AC and RGM only'!$L3:$L152)), 0), MATCH(TRUE, ISNUMBER(SEARCH(C$40, 'AC and RGM only'!$D$2:$J$2)), 0))</f>
        <v>0.03</v>
      </c>
      <c r="E47" cm="1">
        <f t="array" ref="E47">INDEX('AC and RGM only'!$N3:$T152, MATCH(TRUE, ISNUMBER(SEARCH($B$47, 'AC and RGM only'!$L3:$L152)), 0), MATCH(TRUE, ISNUMBER(SEARCH(E$40, 'AC and RGM only'!$D$2:$J$2)), 0))</f>
        <v>0.04</v>
      </c>
      <c r="G47" cm="1">
        <f t="array" ref="G47">INDEX('AC and RGM only'!$N3:$T152, MATCH(TRUE, ISNUMBER(SEARCH($B$47, 'AC and RGM only'!$L3:$L152)), 0), MATCH(TRUE, ISNUMBER(SEARCH(G$40, 'AC and RGM only'!$D$2:$J$2)), 0))</f>
        <v>0.1</v>
      </c>
      <c r="I47" cm="1">
        <f t="array" ref="I47">INDEX('AC and RGM only'!$N3:$T152, MATCH(TRUE, ISNUMBER(SEARCH($B$47, 'AC and RGM only'!$L3:$L152)), 0), MATCH(TRUE, ISNUMBER(SEARCH(I$40, 'AC and RGM only'!$D$2:$J$2)), 0))</f>
        <v>0.07</v>
      </c>
      <c r="K47" cm="1">
        <f t="array" ref="K47">INDEX('AC and RGM only'!$N3:$T152, MATCH(TRUE, ISNUMBER(SEARCH($B$47, 'AC and RGM only'!$L3:$L152)), 0), MATCH(TRUE, ISNUMBER(SEARCH(K$40, 'AC and RGM only'!$D$2:$J$2)), 0))</f>
        <v>0.05</v>
      </c>
      <c r="M47" cm="1">
        <f t="array" ref="M47">INDEX('AC and RGM only'!$N3:$T152, MATCH(TRUE, ISNUMBER(SEARCH($B$47, 'AC and RGM only'!$L3:$L152)), 0), MATCH(TRUE, ISNUMBER(SEARCH(M$40, 'AC and RGM only'!$D$2:$J$2)), 0))</f>
        <v>0.08</v>
      </c>
      <c r="O47" cm="1">
        <f t="array" ref="O47">INDEX('AC and RGM only'!$N3:$T152, MATCH(TRUE, ISNUMBER(SEARCH($B$47, 'AC and RGM only'!$L3:$L152)), 0), MATCH(TRUE, ISNUMBER(SEARCH(O$40, 'AC and RGM only'!$D$2:$J$2)), 0))</f>
        <v>0.09</v>
      </c>
      <c r="R47">
        <f>AVERAGE(C47:O47)</f>
        <v>0.06571428571428573</v>
      </c>
    </row>
    <row r="48">
      <c r="B48" t="str">
        <v>TB FIESTA SALSA (FINISHED PRODUCT)</v>
      </c>
      <c r="C48" cm="1">
        <f t="array" ref="C48">INDEX('AC and RGM only'!$N4:$T153, MATCH(TRUE, ISNUMBER(SEARCH($B$48, 'AC and RGM only'!$L4:$L153)), 0), MATCH(TRUE, ISNUMBER(SEARCH(C$40, 'AC and RGM only'!$D$2:$J$2)), 0))</f>
        <v>1.21</v>
      </c>
      <c r="E48" cm="1">
        <f t="array" ref="E48">INDEX('AC and RGM only'!$N4:$T153, MATCH(TRUE, ISNUMBER(SEARCH($B$48, 'AC and RGM only'!$L4:$L153)), 0), MATCH(TRUE, ISNUMBER(SEARCH(E$40, 'AC and RGM only'!$D$2:$J$2)), 0))</f>
        <v>1.81</v>
      </c>
      <c r="G48" cm="1">
        <f t="array" ref="G48">INDEX('AC and RGM only'!$N4:$T153, MATCH(TRUE, ISNUMBER(SEARCH($B$48, 'AC and RGM only'!$L4:$L153)), 0), MATCH(TRUE, ISNUMBER(SEARCH(G$40, 'AC and RGM only'!$D$2:$J$2)), 0))</f>
        <v>1.6</v>
      </c>
      <c r="I48" cm="1">
        <f t="array" ref="I48">INDEX('AC and RGM only'!$N4:$T153, MATCH(TRUE, ISNUMBER(SEARCH($B$48, 'AC and RGM only'!$L4:$L153)), 0), MATCH(TRUE, ISNUMBER(SEARCH(I$40, 'AC and RGM only'!$D$2:$J$2)), 0))</f>
        <v>1.83</v>
      </c>
      <c r="K48" cm="1">
        <f t="array" ref="K48">INDEX('AC and RGM only'!$N4:$T153, MATCH(TRUE, ISNUMBER(SEARCH($B$48, 'AC and RGM only'!$L4:$L153)), 0), MATCH(TRUE, ISNUMBER(SEARCH(K$40, 'AC and RGM only'!$D$2:$J$2)), 0))</f>
        <v>2.9</v>
      </c>
      <c r="M48" cm="1">
        <f t="array" ref="M48">INDEX('AC and RGM only'!$N4:$T153, MATCH(TRUE, ISNUMBER(SEARCH($B$48, 'AC and RGM only'!$L4:$L153)), 0), MATCH(TRUE, ISNUMBER(SEARCH(M$40, 'AC and RGM only'!$D$2:$J$2)), 0))</f>
        <v>2.39</v>
      </c>
      <c r="O48" cm="1">
        <f t="array" ref="O48">INDEX('AC and RGM only'!$N4:$T153, MATCH(TRUE, ISNUMBER(SEARCH($B$48, 'AC and RGM only'!$L4:$L153)), 0), MATCH(TRUE, ISNUMBER(SEARCH(O$40, 'AC and RGM only'!$D$2:$J$2)), 0))</f>
        <v>2.09</v>
      </c>
      <c r="R48">
        <f>AVERAGE(C48:O48)</f>
        <v>1.9757142857142858</v>
      </c>
    </row>
    <row r="49">
      <c r="B49" t="str">
        <v>TB GUACAMOLE (FINISHED PRODUCT)</v>
      </c>
      <c r="C49" cm="1">
        <f t="array" ref="C49">INDEX('AC and RGM only'!$N5:$T154, MATCH(TRUE, ISNUMBER(SEARCH($B$49, 'AC and RGM only'!$L5:$L154)), 0), MATCH(TRUE, ISNUMBER(SEARCH(C$40, 'AC and RGM only'!$D$2:$J$2)), 0))</f>
        <v>1740.6</v>
      </c>
      <c r="E49" cm="1">
        <f t="array" ref="E49">INDEX('AC and RGM only'!$N5:$T154, MATCH(TRUE, ISNUMBER(SEARCH($B$49, 'AC and RGM only'!$L5:$L154)), 0), MATCH(TRUE, ISNUMBER(SEARCH(E$40, 'AC and RGM only'!$D$2:$J$2)), 0))</f>
        <v>2760.9</v>
      </c>
      <c r="G49" cm="1">
        <f t="array" ref="G49">INDEX('AC and RGM only'!$N5:$T154, MATCH(TRUE, ISNUMBER(SEARCH($B$49, 'AC and RGM only'!$L5:$L154)), 0), MATCH(TRUE, ISNUMBER(SEARCH(G$40, 'AC and RGM only'!$D$2:$J$2)), 0))</f>
        <v>2197.2</v>
      </c>
      <c r="I49" cm="1">
        <f t="array" ref="I49">INDEX('AC and RGM only'!$N5:$T154, MATCH(TRUE, ISNUMBER(SEARCH($B$49, 'AC and RGM only'!$L5:$L154)), 0), MATCH(TRUE, ISNUMBER(SEARCH(I$40, 'AC and RGM only'!$D$2:$J$2)), 0))</f>
        <v>2312.1</v>
      </c>
      <c r="K49" cm="1">
        <f t="array" ref="K49">INDEX('AC and RGM only'!$N5:$T154, MATCH(TRUE, ISNUMBER(SEARCH($B$49, 'AC and RGM only'!$L5:$L154)), 0), MATCH(TRUE, ISNUMBER(SEARCH(K$40, 'AC and RGM only'!$D$2:$J$2)), 0))</f>
        <v>3734.7</v>
      </c>
      <c r="M49" cm="1">
        <f t="array" ref="M49">INDEX('AC and RGM only'!$N5:$T154, MATCH(TRUE, ISNUMBER(SEARCH($B$49, 'AC and RGM only'!$L5:$L154)), 0), MATCH(TRUE, ISNUMBER(SEARCH(M$40, 'AC and RGM only'!$D$2:$J$2)), 0))</f>
        <v>3408.9</v>
      </c>
      <c r="O49" cm="1">
        <f t="array" ref="O49">INDEX('AC and RGM only'!$N5:$T154, MATCH(TRUE, ISNUMBER(SEARCH($B$49, 'AC and RGM only'!$L5:$L154)), 0), MATCH(TRUE, ISNUMBER(SEARCH(O$40, 'AC and RGM only'!$D$2:$J$2)), 0))</f>
        <v>2598</v>
      </c>
      <c r="R49">
        <f>AVERAGE(C49:O49)/1850</f>
        <v>1.4480617760617762</v>
      </c>
    </row>
    <row r="64">
      <c r="E64" t="str">
        <v>WEEKLY SALAD PREP BUILD TOS</v>
      </c>
      <c r="O64" t="str">
        <v>Data Range:</v>
      </c>
    </row>
    <row r="65">
      <c r="O65" t="str">
        <f>TRIM(RIGHT(SUBSTITUTE('AC and RGM only'!D2,CHAR(10),REPT(" ",100)),100)) &amp; " to " &amp; TRIM(RIGHT(SUBSTITUTE('AC and RGM only'!J2,CHAR(10),REPT(" ",100)),100))</f>
        <v>14-Jul-26 to 20-Jul-26</v>
      </c>
    </row>
    <row r="67">
      <c r="C67" t="str">
        <v>MONDAY</v>
      </c>
      <c r="H67" t="str">
        <v>TUESDAY</v>
      </c>
      <c r="M67" t="str">
        <v>WEDNESDAY</v>
      </c>
    </row>
    <row r="68">
      <c r="C68" t="str">
        <v>ITEM</v>
      </c>
      <c r="E68" t="str">
        <v>AMOUNT</v>
      </c>
      <c r="H68" t="str">
        <v>ITEM</v>
      </c>
      <c r="J68" t="str">
        <v>AMOUNT</v>
      </c>
      <c r="M68" t="str">
        <v>ITEM</v>
      </c>
      <c r="O68" t="str">
        <v>AMOUNT</v>
      </c>
    </row>
    <row r="69" xml:space="preserve">
      <c r="C69" t="str">
        <v>SOUR CREAM</v>
      </c>
      <c r="E69" t="str" cm="1" xml:space="preserve">
        <f t="array" ref="E69" xml:space="preserve">LET(
     _xlpm.Usage,SUM(C41, +     N("This is your daily usage in grams")),
     _xlpm.TubToBottle,SUM(10 + N("This is how many bottles that can be made per tub, so 10 500g bottles from a 5KG tub")),
     _xlpm.Buffer,SUM(1.25 +    N("adds a buffer")),
ROUNDUP(_xlpm.Usage*_xlpm.TubToBottle*_xlpm.Buffer, 0)&amp; " BOTTLES")</f>
        <v>11 BOTTLES</v>
      </c>
      <c r="H69" t="str">
        <v>SOUR CREAM</v>
      </c>
      <c r="J69" t="str" cm="1" xml:space="preserve">
        <f t="array" ref="J69" xml:space="preserve">LET(
     _xlpm.Usage,SUM(E41, + N("This is your daily usage in  grams")),
     _xlpm.TubToBottle,SUM(10 + N("This is how many bottles that can be made per tub, so 10 500g bottles from a 5KG tub")),
     _xlpm.Buffer,SUM(1.25 + N("adds a buffer")),
ROUNDUP(_xlpm.Usage*_xlpm.TubToBottle*_xlpm.Buffer, 0)&amp; " BOTTLES")</f>
        <v>11 BOTTLES</v>
      </c>
      <c r="M69" t="str">
        <v>SOUR CREAM</v>
      </c>
      <c r="O69" t="str" cm="1" xml:space="preserve">
        <f t="array" ref="O69" xml:space="preserve">LET(
     _xlpm.Usage,SUM(G41, + N("This is your daily usage in  grams")),
     _xlpm.TubToBottle,SUM(10 + N("This is how many bottles that can be made per tub, so 10 500g bottles from a 5KG tub")),
     _xlpm.Buffer,SUM(1.25 + N("adds a buffer")),
ROUNDUP(_xlpm.Usage*_xlpm.TubToBottle*_xlpm.Buffer, 0)&amp; " BOTTLES")</f>
        <v>11 BOTTLES</v>
      </c>
    </row>
    <row r="70" xml:space="preserve">
      <c r="C70" t="str">
        <v>ZESTY RANCH</v>
      </c>
      <c r="E70" t="str" cm="1" xml:space="preserve">
        <f t="array" ref="E70" xml:space="preserve">LET(
     _xlpm.Usage,SUM(C42, +     N("This is your daily usage in  grams")),
     _xlpm.BoxToBottle,SUM(20 + N("This is how many bottles that can be made per box, so 20 500g bottles from a 10KG box")),
     _xlpm.Buffer,SUM(1.25 +    N("adds a buffer")),
ROUNDUP(_xlpm.Usage*_xlpm.BoxToBottle*_xlpm.Buffer, 0)&amp; " BOTTLES")</f>
        <v>5 BOTTLES</v>
      </c>
      <c r="H70" t="str">
        <v>ZESTY RANCH</v>
      </c>
      <c r="J70" t="str" cm="1" xml:space="preserve">
        <f t="array" ref="J70" xml:space="preserve">LET(
     _xlpm.Usage,SUM(E42,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6 BOTTLES</v>
      </c>
      <c r="M70" t="str">
        <v>ZESTY RANCH</v>
      </c>
      <c r="O70" t="str" cm="1" xml:space="preserve">
        <f t="array" ref="O70" xml:space="preserve">LET(
     _xlpm.Usage,SUM(G42,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7 BOTTLES</v>
      </c>
    </row>
    <row r="71" xml:space="preserve">
      <c r="C71" t="str">
        <v>CHIPOTLE</v>
      </c>
      <c r="E71" t="str" cm="1" xml:space="preserve">
        <f t="array" ref="E71" xml:space="preserve">LET(
     _xlpm.Usage,SUM(C43, +     N("This is your daily usage in  grams")),
     _xlpm.BoxToBottle,SUM(20 + N("This is how many bottles that can be made per box, so 20 500g bottles from a 10KG box")),
     _xlpm.Buffer,SUM(1.25 +    N("adds a buffer")),
ROUNDUP(_xlpm.Usage*_xlpm.BoxToBottle*_xlpm.Buffer, 0)&amp; " BOTTLES")</f>
        <v>3 BOTTLES</v>
      </c>
      <c r="H71" t="str">
        <v>CHIPOTLE</v>
      </c>
      <c r="J71" t="str" cm="1" xml:space="preserve">
        <f t="array" ref="J71" xml:space="preserve">LET(
     _xlpm.Usage,SUM(E43,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2 BOTTLES</v>
      </c>
      <c r="M71" t="str">
        <v>CHIPOTLE</v>
      </c>
      <c r="O71" t="str" cm="1" xml:space="preserve">
        <f t="array" ref="O71" xml:space="preserve">LET(
     _xlpm.Usage,SUM(G43,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5 BOTTLES</v>
      </c>
    </row>
    <row r="72" xml:space="preserve">
      <c r="C72" t="str">
        <v>LAVA SAUCE</v>
      </c>
      <c r="E72" t="str" cm="1" xml:space="preserve">
        <f t="array" ref="E72" xml:space="preserve">LET(
     _xlpm.Usage,SUM(C44,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3 BOTTLES</v>
      </c>
      <c r="H72" t="str">
        <v>LAVA SAUCE</v>
      </c>
      <c r="J72" t="str" cm="1" xml:space="preserve">
        <f t="array" ref="J72" xml:space="preserve">LET(
     _xlpm.Usage,SUM(E44,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4 BOTTLES</v>
      </c>
      <c r="M72" t="str">
        <v>LAVA SAUCE</v>
      </c>
      <c r="O72" t="str" cm="1" xml:space="preserve">
        <f t="array" ref="O72" xml:space="preserve">LET(
     _xlpm.Usage,SUM(G44,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4 BOTTLES</v>
      </c>
    </row>
    <row r="73" xml:space="preserve">
      <c r="C73" t="str">
        <v>CREAM J</v>
      </c>
      <c r="E73" t="str" cm="1" xml:space="preserve">
        <f t="array" ref="E73" xml:space="preserve">LET(
     _xlpm.Usage,SUM(C45,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1 BOTTLES</v>
      </c>
      <c r="H73" t="str">
        <v>CREAM J</v>
      </c>
      <c r="J73" t="str" cm="1" xml:space="preserve">
        <f t="array" ref="J73" xml:space="preserve">LET(
     _xlpm.Usage,SUM(E45,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1 BOTTLES</v>
      </c>
      <c r="M73" t="str">
        <v>CREAM J</v>
      </c>
      <c r="O73" t="str" cm="1" xml:space="preserve">
        <f t="array" ref="O73" xml:space="preserve">LET(
     _xlpm.Usage,SUM(G45,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2 BOTTLES</v>
      </c>
    </row>
    <row r="74" xml:space="preserve">
      <c r="C74" t="str">
        <v>MILD SAUCE</v>
      </c>
      <c r="E74" t="str" cm="1" xml:space="preserve">
        <f t="array" ref="E74" xml:space="preserve">LET(
     _xlpm.Usage,SUM(C46,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5 BOTTLES</v>
      </c>
      <c r="H74" t="str">
        <v>MILD SAUCE</v>
      </c>
      <c r="J74" t="str" cm="1" xml:space="preserve">
        <f t="array" ref="J74" xml:space="preserve">LET(
     _xlpm.Usage,SUM(E46,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4 BOTTLES</v>
      </c>
      <c r="M74" t="str">
        <v>MILD SAUCE</v>
      </c>
      <c r="O74" t="str" cm="1" xml:space="preserve">
        <f t="array" ref="O74" xml:space="preserve">LET(
     _xlpm.Usage,SUM(G46,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7 BOTTLES</v>
      </c>
    </row>
    <row r="75" xml:space="preserve">
      <c r="C75" t="str">
        <v>FIRE SAUCE</v>
      </c>
      <c r="E75" t="str" cm="1" xml:space="preserve">
        <f t="array" ref="E75" xml:space="preserve">LET(
     _xlpm.Usage,SUM(C47,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1 BOTTLES</v>
      </c>
      <c r="H75" t="str">
        <v>FIRE SAUCE</v>
      </c>
      <c r="J75" t="str" cm="1" xml:space="preserve">
        <f t="array" ref="J75" xml:space="preserve">LET(
     _xlpm.Usage,SUM(E47,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1 BOTTLES</v>
      </c>
      <c r="M75" t="str">
        <v>FIRE SAUCE</v>
      </c>
      <c r="O75" t="str" cm="1" xml:space="preserve">
        <f t="array" ref="O75" xml:space="preserve">LET(
     _xlpm.Usage,SUM(G47,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3 BOTTLES</v>
      </c>
    </row>
    <row r="76" xml:space="preserve">
      <c r="C76" t="str">
        <v>FIESTA</v>
      </c>
      <c r="E76" t="str" cm="1" xml:space="preserve">
        <f t="array" ref="E76" xml:space="preserve">LET(
     _xlpm.Usage,SUM(C48, + N("This is your daily usage in  KG")),
     _xlpm.BagToPan,SUM(1 + N("This is how many Pans that can be made per bag, so 1 1KG Pan per Bag")),
     _xlpm.Buffer,SUM(1.25 + N("adds a buffer")),
ROUNDUP(_xlpm.Usage*_xlpm.BagToPan*_xlpm.Buffer, 0)&amp; " PANS")</f>
        <v>2 PANS</v>
      </c>
      <c r="H76" t="str">
        <v>FIESTA</v>
      </c>
      <c r="J76" t="str" cm="1" xml:space="preserve">
        <f t="array" ref="J76" xml:space="preserve">LET(
     _xlpm.Usage,SUM(E48, + N("This is your daily usage in KG")),
     _xlpm.BagToPan,SUM(1 + N("This is how many Pans that can be made per bag, so 1 1KG Pan per Bag")),
     _xlpm.Buffer,SUM(1.25 + N("adds a buffer")),
ROUNDUP(_xlpm.Usage*_xlpm.BagToPan*_xlpm.Buffer, 0)&amp; " PANS")</f>
        <v>3 PANS</v>
      </c>
      <c r="M76" t="str">
        <v>FIESTA</v>
      </c>
      <c r="O76" t="str" cm="1" xml:space="preserve">
        <f t="array" ref="O76" xml:space="preserve">LET(
     _xlpm.Usage,SUM(G48, + N("This is your daily usage in KG")),
     _xlpm.BagToPan,SUM(1 + N("This is how many Pans that can be made per bag, so 1 1KG Pan per Bag")),
     _xlpm.Buffer,SUM(1.25 + N("adds a buffer")),
ROUNDUP(_xlpm.Usage*_xlpm.BagToPan*_xlpm.Buffer, 0)&amp; " PANS")</f>
        <v>2 PANS</v>
      </c>
    </row>
    <row r="77" xml:space="preserve">
      <c r="C77" t="str">
        <v>GUAC</v>
      </c>
      <c r="E77" t="str" cm="1" xml:space="preserve">
        <f t="array" ref="E77" xml:space="preserve">LET(
     _xlpm.Usage,SUM(C49/1850, + N("This is your daily usage in grams, divided into bag sizes")),
     _xlpm.BagToPan,SUM(1 + N("This is how many bags per pan")),
     _xlpm.Buffer,SUM(1.25 + N("adds a buffer")),
ROUNDUP(_xlpm.Usage*_xlpm.BagToPan*_xlpm.Buffer, 0)&amp; " PANS")</f>
        <v>2 PANS</v>
      </c>
      <c r="H77" t="str">
        <v>GUAC</v>
      </c>
      <c r="J77" t="str" cm="1" xml:space="preserve">
        <f t="array" ref="J77" xml:space="preserve">LET(
     _xlpm.Usage,SUM(E49/1850, + N("This is your daily usage in grams, divided into bag sizes")),
     _xlpm.BagToPan,SUM(1 + N("This is how many bags per pan")),
     _xlpm.Buffer,SUM(1.25 + N("adds a buffer")),
ROUNDUP(_xlpm.Usage*_xlpm.BagToPan*_xlpm.Buffer, 0)&amp; " PANS")</f>
        <v>2 PANS</v>
      </c>
      <c r="M77" t="str">
        <v>GUAC</v>
      </c>
      <c r="O77" t="str" cm="1" xml:space="preserve">
        <f t="array" ref="O77" xml:space="preserve">LET(
     _xlpm.Usage,SUM(G49/1850, + N("This is your daily usage in grams, divided into bag sizes")),
     _xlpm.BagToPan,SUM(1 + N("This is how many bags per pan")),
     _xlpm.Buffer,SUM(1.25 + N("adds a buffer")),
ROUNDUP(_xlpm.Usage*_xlpm.BagToPan*_xlpm.Buffer, 0)&amp; " PANS")</f>
        <v>2 PANS</v>
      </c>
    </row>
    <row r="79">
      <c r="C79" t="str">
        <v>THURSDAY</v>
      </c>
      <c r="H79" t="str">
        <v>FRIDAY</v>
      </c>
      <c r="M79" t="str">
        <v>SATURDAY</v>
      </c>
    </row>
    <row r="80">
      <c r="C80" t="str">
        <v>ITEM</v>
      </c>
      <c r="E80" t="str">
        <v>AMOUNT</v>
      </c>
      <c r="H80" t="str">
        <v>ITEM</v>
      </c>
      <c r="J80" t="str">
        <v>AMOUNT</v>
      </c>
      <c r="M80" t="str">
        <v>ITEM</v>
      </c>
      <c r="O80" t="str">
        <v>AMOUNT</v>
      </c>
    </row>
    <row r="81" xml:space="preserve">
      <c r="C81" t="str">
        <v>SOUR CREAM</v>
      </c>
      <c r="E81" t="str" cm="1" xml:space="preserve">
        <f t="array" ref="E81" xml:space="preserve">LET(
     _xlpm.Usage,SUM(I41, + N("This is your daily usage in  grams")),
     _xlpm.TubToBottle,SUM(10 + N("This is how many bottles that can be made per tub, so 10 500g bottles from a 5KG tub")),
     _xlpm.Buffer,SUM(1.25 + N("adds a buffer")),
ROUNDUP(_xlpm.Usage*_xlpm.TubToBottle*_xlpm.Buffer, 0)&amp; " BOTTLES")</f>
        <v>12 BOTTLES</v>
      </c>
      <c r="H81" t="str">
        <v>SOUR CREAM</v>
      </c>
      <c r="J81" t="str" cm="1" xml:space="preserve">
        <f t="array" ref="J81" xml:space="preserve">LET(
     _xlpm.Usage,SUM(K41, + N("This is your daily usage in  grams")),
     _xlpm.TubToBottle,SUM(10 + N("This is how many bottles that can be made per tub, so 10 500g bottles from a 5KG tub")),
     _xlpm.Buffer,SUM(1.25 + N("adds a buffer")),
ROUNDUP(_xlpm.Usage*_xlpm.TubToBottle*_xlpm.Buffer, 0)&amp; " BOTTLES")</f>
        <v>16 BOTTLES</v>
      </c>
      <c r="M81" t="str">
        <v>SOUR CREAM</v>
      </c>
      <c r="O81" t="str" cm="1" xml:space="preserve">
        <f t="array" ref="O81" xml:space="preserve">LET(
     _xlpm.Usage,SUM(M41, + N("This is your daily usage in  grams")),
     _xlpm.TubToBottle,SUM(10 + N("This is how many bottles that can be made per tub, so 10 500g bottles from a 5KG tub")),
     _xlpm.Buffer,SUM(1.25 + N("adds a buffer")),
ROUNDUP(_xlpm.Usage*_xlpm.TubToBottle*_xlpm.Buffer, 0)&amp; " BOTTLES")</f>
        <v>16 BOTTLES</v>
      </c>
    </row>
    <row r="82" xml:space="preserve">
      <c r="C82" t="str">
        <v>ZESTY RANCH</v>
      </c>
      <c r="E82" t="str" cm="1" xml:space="preserve">
        <f t="array" ref="E82" xml:space="preserve">LET(
     _xlpm.Usage,SUM(I42,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8 BOTTLES</v>
      </c>
      <c r="H82" t="str">
        <v>ZESTY RANCH</v>
      </c>
      <c r="J82" t="str" cm="1" xml:space="preserve">
        <f t="array" ref="J82" xml:space="preserve">LET(
     _xlpm.Usage,SUM(K42,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10 BOTTLES</v>
      </c>
      <c r="M82" t="str">
        <v>ZESTY RANCH</v>
      </c>
      <c r="O82" t="str" cm="1" xml:space="preserve">
        <f t="array" ref="O82" xml:space="preserve">LET(
     _xlpm.Usage,SUM(K42,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10 BOTTLES</v>
      </c>
    </row>
    <row r="83" xml:space="preserve">
      <c r="C83" t="str">
        <v>CHIPOTLE</v>
      </c>
      <c r="E83" t="str" cm="1" xml:space="preserve">
        <f t="array" ref="E83" xml:space="preserve">LET(
     _xlpm.Usage,SUM(I43,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5 BOTTLES</v>
      </c>
      <c r="H83" t="str">
        <v>CHIPOTLE</v>
      </c>
      <c r="J83" t="str" cm="1" xml:space="preserve">
        <f t="array" ref="J83" xml:space="preserve">LET(
     _xlpm.Usage,SUM(K43,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4 BOTTLES</v>
      </c>
      <c r="M83" t="str">
        <v>CHIPOTLE</v>
      </c>
      <c r="O83" t="str" cm="1" xml:space="preserve">
        <f t="array" ref="O83" xml:space="preserve">LET(
     _xlpm.Usage,SUM(K43,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4 BOTTLES</v>
      </c>
    </row>
    <row r="84" xml:space="preserve">
      <c r="C84" t="str">
        <v>LAVA SAUCE</v>
      </c>
      <c r="E84" t="str" cm="1" xml:space="preserve">
        <f t="array" ref="E84" xml:space="preserve">LET(
     _xlpm.Usage,SUM(I44,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4 BOTTLES</v>
      </c>
      <c r="H84" t="str">
        <v>LAVA SAUCE</v>
      </c>
      <c r="J84" t="str" cm="1" xml:space="preserve">
        <f t="array" ref="J84" xml:space="preserve">LET(
     _xlpm.Usage,SUM(K44,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6 BOTTLES</v>
      </c>
      <c r="M84" t="str">
        <v>LAVA SAUCE</v>
      </c>
      <c r="O84" t="str" cm="1" xml:space="preserve">
        <f t="array" ref="O84" xml:space="preserve">LET(
     _xlpm.Usage,SUM(K44,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6 BOTTLES</v>
      </c>
    </row>
    <row r="85" xml:space="preserve">
      <c r="C85" t="str">
        <v>CREAM J</v>
      </c>
      <c r="E85" t="str" cm="1" xml:space="preserve">
        <f t="array" ref="E85" xml:space="preserve">LET(
     _xlpm.Usage,SUM(I45,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3 BOTTLES</v>
      </c>
      <c r="H85" t="str">
        <v>CREAM J</v>
      </c>
      <c r="J85" t="str" cm="1" xml:space="preserve">
        <f t="array" ref="J85" xml:space="preserve">LET(
     _xlpm.Usage,SUM(K45,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2 BOTTLES</v>
      </c>
      <c r="M85" t="str">
        <v>CREAM J</v>
      </c>
      <c r="O85" t="str" cm="1" xml:space="preserve">
        <f t="array" ref="O85" xml:space="preserve">LET(
     _xlpm.Usage,SUM(K45,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2 BOTTLES</v>
      </c>
    </row>
    <row r="86" xml:space="preserve">
      <c r="C86" t="str">
        <v>MILD SAUCE</v>
      </c>
      <c r="E86" t="str" cm="1" xml:space="preserve">
        <f t="array" ref="E86" xml:space="preserve">LET(
     _xlpm.Usage,SUM(I46,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6 BOTTLES</v>
      </c>
      <c r="H86" t="str">
        <v>MILD SAUCE</v>
      </c>
      <c r="J86" t="str" cm="1" xml:space="preserve">
        <f t="array" ref="J86" xml:space="preserve">LET(
     _xlpm.Usage,SUM(K46,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7 BOTTLES</v>
      </c>
      <c r="M86" t="str">
        <v>MILD SAUCE</v>
      </c>
      <c r="O86" t="str" cm="1" xml:space="preserve">
        <f t="array" ref="O86" xml:space="preserve">LET(
     _xlpm.Usage,SUM(K46,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7 BOTTLES</v>
      </c>
    </row>
    <row r="87" xml:space="preserve">
      <c r="C87" t="str">
        <v>FIRE SAUCE</v>
      </c>
      <c r="E87" t="str" cm="1" xml:space="preserve">
        <f t="array" ref="E87" xml:space="preserve">LET(
     _xlpm.Usage,SUM(I47,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2 BOTTLES</v>
      </c>
      <c r="H87" t="str">
        <v>FIRE SAUCE</v>
      </c>
      <c r="J87" t="str" cm="1" xml:space="preserve">
        <f t="array" ref="J87" xml:space="preserve">LET(
     _xlpm.Usage,SUM(K47,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2 BOTTLES</v>
      </c>
      <c r="M87" t="str">
        <v>FIRE SAUCE</v>
      </c>
      <c r="O87" t="str" cm="1" xml:space="preserve">
        <f t="array" ref="O87" xml:space="preserve">LET(
     _xlpm.Usage,SUM(K47,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2 BOTTLES</v>
      </c>
    </row>
    <row r="88" xml:space="preserve">
      <c r="C88" t="str">
        <v>FIESTA</v>
      </c>
      <c r="E88" t="str" cm="1" xml:space="preserve">
        <f t="array" ref="E88" xml:space="preserve">LET(
     _xlpm.Usage,SUM(I48, + N("This is your daily usage in KG")),
     _xlpm.BagToPan,SUM(1 + N("This is how many Pans that can be made per bag, so 1 1KG Pan per Bag")),
     _xlpm.Buffer,SUM(1.25 + N("adds a buffer")),
ROUNDUP(_xlpm.Usage*_xlpm.BagToPan*_xlpm.Buffer, 0)&amp; " PANS")</f>
        <v>3 PANS</v>
      </c>
      <c r="H88" t="str">
        <v>FIESTA</v>
      </c>
      <c r="J88" t="str" cm="1" xml:space="preserve">
        <f t="array" ref="J88" xml:space="preserve">LET(
     _xlpm.Usage,SUM(K48, + N("This is your daily usage in KG")),
     _xlpm.BagToPan,SUM(1 + N("This is how many Pans that can be made per bag, so 1 1KG Pan per Bag")),
     _xlpm.Buffer,SUM(1.25 + N("adds a buffer")),
ROUNDUP(_xlpm.Usage*_xlpm.BagToPan*_xlpm.Buffer, 0)&amp; " PANS")</f>
        <v>4 PANS</v>
      </c>
      <c r="M88" t="str">
        <v>FIESTA</v>
      </c>
      <c r="O88" t="str" cm="1" xml:space="preserve">
        <f t="array" ref="O88" xml:space="preserve">LET(
     _xlpm.Usage,SUM(M48, + N("This is your daily usage in KG")),
     _xlpm.BagToPan,SUM(1 + N("This is how many Pans that can be made per bag, so 1 1KG Pan per Bag")),
     _xlpm.Buffer,SUM(1.25 + N("adds a buffer")),
ROUNDUP(_xlpm.Usage*_xlpm.BagToPan*_xlpm.Buffer, 0)&amp; " PANS")</f>
        <v>3 PANS</v>
      </c>
    </row>
    <row r="89" xml:space="preserve">
      <c r="C89" t="str">
        <v>GUAC</v>
      </c>
      <c r="E89" t="str" cm="1" xml:space="preserve">
        <f t="array" ref="E89" xml:space="preserve">LET(
     _xlpm.Usage,SUM(I49/1850, + N("This is your daily usage in grams, divided into bag sizes")),
     _xlpm.BagToPan,SUM(1 + N("This is how many bags per pan")),
     _xlpm.Buffer,SUM(1.25 + N("adds a buffer")),
ROUNDUP(_xlpm.Usage*_xlpm.BagToPan*_xlpm.Buffer, 0)&amp; " PANS")</f>
        <v>2 PANS</v>
      </c>
      <c r="H89" t="str">
        <v>GUAC</v>
      </c>
      <c r="J89" t="str" cm="1" xml:space="preserve">
        <f t="array" ref="J89" xml:space="preserve">LET(
     _xlpm.Usage,SUM(K49/1850, + N("This is your daily usage in grams, divided into bag sizes")),
     _xlpm.BagToPan,SUM(1 + N("This is how many bags per pan")),
     _xlpm.Buffer,SUM(1.25 + N("adds a buffer")),
ROUNDUP(_xlpm.Usage*_xlpm.BagToPan*_xlpm.Buffer, 0)&amp; " PANS")</f>
        <v>3 PANS</v>
      </c>
      <c r="M89" t="str">
        <v>GUAC</v>
      </c>
      <c r="O89" t="str" cm="1" xml:space="preserve">
        <f t="array" ref="O89" xml:space="preserve">LET(
     _xlpm.Usage,SUM(M49/1850, + N("This is your daily usage in grams, divided into bag sizes")),
     _xlpm.BagToPan,SUM(1 + N("This is how many bags per pan")),
     _xlpm.Buffer,SUM(1.25 + N("adds a buffer")),
ROUNDUP(_xlpm.Usage*_xlpm.BagToPan*_xlpm.Buffer, 0)&amp; " PANS")</f>
        <v>3 PANS</v>
      </c>
    </row>
    <row r="91">
      <c r="H91" t="str">
        <v>SUNDAY</v>
      </c>
    </row>
    <row r="92">
      <c r="H92" t="str">
        <v>ITEM</v>
      </c>
      <c r="J92" t="str">
        <v>AMOUNT</v>
      </c>
    </row>
    <row r="93" xml:space="preserve">
      <c r="H93" t="str">
        <v>SOUR CREAM</v>
      </c>
      <c r="J93" t="str" cm="1" xml:space="preserve">
        <f t="array" ref="J93" xml:space="preserve">LET(
     _xlpm.Usage,SUM(O41, + N("This is your daily usage in  grams")),
     _xlpm.TubToBottle,SUM(10 + N("This is how many bottles that can be made per tub, so 10 500g bottles from a 5KG tub")),
     _xlpm.Buffer,SUM(1.25 + N("adds a buffer")),
ROUNDUP(_xlpm.Usage*_xlpm.TubToBottle*_xlpm.Buffer, 0)&amp; " BOTTLES")</f>
        <v>15 BOTTLES</v>
      </c>
    </row>
    <row r="94" xml:space="preserve">
      <c r="H94" t="str">
        <v>ZESTY RANCH</v>
      </c>
      <c r="J94" t="str" cm="1" xml:space="preserve">
        <f t="array" ref="J94" xml:space="preserve">LET(
     _xlpm.Usage,SUM(O42,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9 BOTTLES</v>
      </c>
    </row>
    <row r="95" xml:space="preserve">
      <c r="H95" t="str">
        <v>CHIPOTLE</v>
      </c>
      <c r="J95" t="str" cm="1" xml:space="preserve">
        <f t="array" ref="J95" xml:space="preserve">LET(
     _xlpm.Usage,SUM(O43,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5 BOTTLES</v>
      </c>
    </row>
    <row r="96" xml:space="preserve">
      <c r="H96" t="str">
        <v>LAVA SAUCE</v>
      </c>
      <c r="J96" t="str" cm="1" xml:space="preserve">
        <f t="array" ref="J96" xml:space="preserve">LET(
     _xlpm.Usage,SUM(O44,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5 BOTTLES</v>
      </c>
    </row>
    <row r="97" xml:space="preserve">
      <c r="H97" t="str">
        <v>CREAM J</v>
      </c>
      <c r="J97" t="str" cm="1" xml:space="preserve">
        <f t="array" ref="J97" xml:space="preserve">LET(
     _xlpm.Usage,SUM(O45,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3 BOTTLES</v>
      </c>
    </row>
    <row r="98" xml:space="preserve">
      <c r="H98" t="str">
        <v>MILD SAUCE</v>
      </c>
      <c r="J98" t="str" cm="1" xml:space="preserve">
        <f t="array" ref="J98" xml:space="preserve">LET(
     _xlpm.Usage,SUM(O46,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6 BOTTLES</v>
      </c>
    </row>
    <row r="99" xml:space="preserve">
      <c r="H99" t="str">
        <v>FIRE SAUCE</v>
      </c>
      <c r="J99" t="str" cm="1" xml:space="preserve">
        <f t="array" ref="J99" xml:space="preserve">LET(
     _xlpm.Usage,SUM(O47, + N("This is your daily usage in  grams")),
     _xlpm.BoxToBottle,SUM(20 + N("This is how many bottles that can be made per box, so 20 500g bottles from a 10KG box")),
     _xlpm.Buffer,SUM(1.25 + N("adds a buffer")),
ROUNDUP(_xlpm.Usage*_xlpm.BoxToBottle*_xlpm.Buffer, 0)&amp; " BOTTLES")</f>
        <v>3 BOTTLES</v>
      </c>
    </row>
    <row r="100" xml:space="preserve">
      <c r="H100" t="str">
        <v>FIESTA</v>
      </c>
      <c r="J100" t="str" cm="1" xml:space="preserve">
        <f t="array" ref="J100" xml:space="preserve">LET(
     _xlpm.Usage,SUM(O48, + N("This is your daily usage in KG")),
     _xlpm.BagToPan,SUM(1 + N("This is how many Pans that can be made per bag, so 1 1KG Pan per Bag")),
     _xlpm.Buffer,SUM(1.25 + N("adds a buffer")),
ROUNDUP(_xlpm.Usage*_xlpm.BagToPan*_xlpm.Buffer, 0)&amp; " PANS")</f>
        <v>3 PANS</v>
      </c>
    </row>
    <row r="101" xml:space="preserve">
      <c r="H101" t="str">
        <v>GUAC</v>
      </c>
      <c r="J101" t="str" cm="1" xml:space="preserve">
        <f t="array" ref="J101" xml:space="preserve">LET(
     _xlpm.Usage,SUM(O49/1850, + N("This is your daily usage in grams, divided into bag sizes")),
     _xlpm.BagToPan,SUM(1 + N("This is how many bags per pan")),
     _xlpm.Buffer,SUM(1.25 + N("adds a buffer")),
ROUNDUP(_xlpm.Usage*_xlpm.BagToPan*_xlpm.Buffer, 0)&amp; " PANS")</f>
        <v>2 PANS</v>
      </c>
    </row>
    <row r="103">
      <c r="B103" t="str">
        <v>ITEM NAME</v>
      </c>
      <c r="C103" t="str">
        <v>MONDAY</v>
      </c>
      <c r="E103" t="str">
        <v>TUESDAY</v>
      </c>
      <c r="G103" t="str">
        <v>WEDNESDAY</v>
      </c>
      <c r="I103" t="str">
        <v>THURSDAY</v>
      </c>
      <c r="K103" t="str">
        <v>FRIDAY</v>
      </c>
      <c r="M103" t="str">
        <v>SATURDAY</v>
      </c>
      <c r="O103" t="str">
        <v>SUNDAY</v>
      </c>
      <c r="R103" t="str">
        <v>DAILY AVG</v>
      </c>
    </row>
    <row r="104">
      <c r="B104" t="str">
        <v>12INCH</v>
      </c>
      <c r="C104" cm="1">
        <f t="array" ref="C104">INDEX('AC and RGM only'!$N$1:$T$150, MATCH(TRUE, ISNUMBER(SEARCH($B$104, 'AC and RGM only'!$L$1:$L$150)), 0), MATCH(TRUE, ISNUMBER(SEARCH(C$103, 'AC and RGM only'!$D$2:$J$2)), 0))</f>
        <v>0.62</v>
      </c>
      <c r="E104" cm="1">
        <f t="array" ref="E104">INDEX('AC and RGM only'!$N$1:$T$150, MATCH(TRUE, ISNUMBER(SEARCH($B$104, 'AC and RGM only'!$L$1:$L$150)), 0), MATCH(TRUE, ISNUMBER(SEARCH(E$103, 'AC and RGM only'!$D$2:$J$2)), 0))</f>
        <v>0.64</v>
      </c>
      <c r="G104" cm="1">
        <f t="array" ref="G104">INDEX('AC and RGM only'!$N$1:$T$150, MATCH(TRUE, ISNUMBER(SEARCH($B$104, 'AC and RGM only'!$L$1:$L$150)), 0), MATCH(TRUE, ISNUMBER(SEARCH(G$103, 'AC and RGM only'!$D$2:$J$2)), 0))</f>
        <v>0.88</v>
      </c>
      <c r="I104" cm="1">
        <f t="array" ref="I104">INDEX('AC and RGM only'!$N$1:$T$150, MATCH(TRUE, ISNUMBER(SEARCH($B$104, 'AC and RGM only'!$L$1:$L$150)), 0), MATCH(TRUE, ISNUMBER(SEARCH(I$103, 'AC and RGM only'!$D$2:$J$2)), 0))</f>
        <v>0.83</v>
      </c>
      <c r="K104" cm="1">
        <f t="array" ref="K104">INDEX('AC and RGM only'!$N$1:$T$150, MATCH(TRUE, ISNUMBER(SEARCH($B$104, 'AC and RGM only'!$L$1:$L$150)), 0), MATCH(TRUE, ISNUMBER(SEARCH(K$103, 'AC and RGM only'!$D$2:$J$2)), 0))</f>
        <v>1.26</v>
      </c>
      <c r="M104" cm="1">
        <f t="array" ref="M104">INDEX('AC and RGM only'!$N$1:$T$150, MATCH(TRUE, ISNUMBER(SEARCH($B$104, 'AC and RGM only'!$L$1:$L$150)), 0), MATCH(TRUE, ISNUMBER(SEARCH(M$103, 'AC and RGM only'!$D$2:$J$2)), 0))</f>
        <v>1.18</v>
      </c>
      <c r="O104" cm="1">
        <f t="array" ref="O104">INDEX('AC and RGM only'!$N$1:$T$150, MATCH(TRUE, ISNUMBER(SEARCH($B$104, 'AC and RGM only'!$L$1:$L$150)), 0), MATCH(TRUE, ISNUMBER(SEARCH(O$103, 'AC and RGM only'!$D$2:$J$2)), 0))</f>
        <v>1.21</v>
      </c>
      <c r="R104">
        <f>AVERAGE(C104:O104)</f>
        <v>0.9457142857142857</v>
      </c>
    </row>
    <row r="105">
      <c r="B105" t="str">
        <v>10.25INCH</v>
      </c>
      <c r="C105" cm="1">
        <f t="array" ref="C105">INDEX('AC and RGM only'!$N$1:$T$150, MATCH(TRUE, ISNUMBER(SEARCH($B$105, 'AC and RGM only'!$L$1:$L$150)), 0), MATCH(TRUE, ISNUMBER(SEARCH(C$103, 'AC and RGM only'!$D$2:$J$2)), 0))</f>
        <v>0.7</v>
      </c>
      <c r="E105" cm="1">
        <f t="array" ref="E105">INDEX('AC and RGM only'!$N$1:$T$150, MATCH(TRUE, ISNUMBER(SEARCH($B$105, 'AC and RGM only'!$L$1:$L$150)), 0), MATCH(TRUE, ISNUMBER(SEARCH(E$103, 'AC and RGM only'!$D$2:$J$2)), 0))</f>
        <v>0.8</v>
      </c>
      <c r="G105" cm="1">
        <f t="array" ref="G105">INDEX('AC and RGM only'!$N$1:$T$150, MATCH(TRUE, ISNUMBER(SEARCH($B$105, 'AC and RGM only'!$L$1:$L$150)), 0), MATCH(TRUE, ISNUMBER(SEARCH(G$103, 'AC and RGM only'!$D$2:$J$2)), 0))</f>
        <v>1.09</v>
      </c>
      <c r="I105" cm="1">
        <f t="array" ref="I105">INDEX('AC and RGM only'!$N$1:$T$150, MATCH(TRUE, ISNUMBER(SEARCH($B$105, 'AC and RGM only'!$L$1:$L$150)), 0), MATCH(TRUE, ISNUMBER(SEARCH(I$103, 'AC and RGM only'!$D$2:$J$2)), 0))</f>
        <v>1.05</v>
      </c>
      <c r="K105" cm="1">
        <f t="array" ref="K105">INDEX('AC and RGM only'!$N$1:$T$150, MATCH(TRUE, ISNUMBER(SEARCH($B$105, 'AC and RGM only'!$L$1:$L$150)), 0), MATCH(TRUE, ISNUMBER(SEARCH(K$103, 'AC and RGM only'!$D$2:$J$2)), 0))</f>
        <v>1.34</v>
      </c>
      <c r="M105" cm="1">
        <f t="array" ref="M105">INDEX('AC and RGM only'!$N$1:$T$150, MATCH(TRUE, ISNUMBER(SEARCH($B$105, 'AC and RGM only'!$L$1:$L$150)), 0), MATCH(TRUE, ISNUMBER(SEARCH(M$103, 'AC and RGM only'!$D$2:$J$2)), 0))</f>
        <v>1.45</v>
      </c>
      <c r="O105" cm="1">
        <f t="array" ref="O105">INDEX('AC and RGM only'!$N$1:$T$150, MATCH(TRUE, ISNUMBER(SEARCH($B$105, 'AC and RGM only'!$L$1:$L$150)), 0), MATCH(TRUE, ISNUMBER(SEARCH(O$103, 'AC and RGM only'!$D$2:$J$2)), 0))</f>
        <v>1.19</v>
      </c>
      <c r="R105">
        <f>AVERAGE(C105:O105)</f>
        <v>1.0885714285714285</v>
      </c>
    </row>
    <row r="106">
      <c r="B106" t="str">
        <v>6.5INCH</v>
      </c>
      <c r="C106" cm="1">
        <f t="array" ref="C106">INDEX('AC and RGM only'!$N$1:$T$150, MATCH(TRUE, ISNUMBER(SEARCH($B$106, 'AC and RGM only'!$L$1:$L$150)), 0), MATCH(TRUE, ISNUMBER(SEARCH(C$103, 'AC and RGM only'!$D$2:$J$2)), 0))</f>
        <v>0.22</v>
      </c>
      <c r="E106" cm="1">
        <f t="array" ref="E106">INDEX('AC and RGM only'!$N$1:$T$150, MATCH(TRUE, ISNUMBER(SEARCH($B$106, 'AC and RGM only'!$L$1:$L$150)), 0), MATCH(TRUE, ISNUMBER(SEARCH(E$103, 'AC and RGM only'!$D$2:$J$2)), 0))</f>
        <v>0.22</v>
      </c>
      <c r="G106" cm="1">
        <f t="array" ref="G106">INDEX('AC and RGM only'!$N$1:$T$150, MATCH(TRUE, ISNUMBER(SEARCH($B$106, 'AC and RGM only'!$L$1:$L$150)), 0), MATCH(TRUE, ISNUMBER(SEARCH(G$103, 'AC and RGM only'!$D$2:$J$2)), 0))</f>
        <v>0.32</v>
      </c>
      <c r="I106" cm="1">
        <f t="array" ref="I106">INDEX('AC and RGM only'!$N$1:$T$150, MATCH(TRUE, ISNUMBER(SEARCH($B$106, 'AC and RGM only'!$L$1:$L$150)), 0), MATCH(TRUE, ISNUMBER(SEARCH(I$103, 'AC and RGM only'!$D$2:$J$2)), 0))</f>
        <v>0.28</v>
      </c>
      <c r="K106" cm="1">
        <f t="array" ref="K106">INDEX('AC and RGM only'!$N$1:$T$150, MATCH(TRUE, ISNUMBER(SEARCH($B$106, 'AC and RGM only'!$L$1:$L$150)), 0), MATCH(TRUE, ISNUMBER(SEARCH(K$103, 'AC and RGM only'!$D$2:$J$2)), 0))</f>
        <v>0.34</v>
      </c>
      <c r="M106" cm="1">
        <f t="array" ref="M106">INDEX('AC and RGM only'!$N$1:$T$150, MATCH(TRUE, ISNUMBER(SEARCH($B$106, 'AC and RGM only'!$L$1:$L$150)), 0), MATCH(TRUE, ISNUMBER(SEARCH(M$103, 'AC and RGM only'!$D$2:$J$2)), 0))</f>
        <v>0.44</v>
      </c>
      <c r="O106" cm="1">
        <f t="array" ref="O106">INDEX('AC and RGM only'!$N$1:$T$150, MATCH(TRUE, ISNUMBER(SEARCH($B$106, 'AC and RGM only'!$L$1:$L$150)), 0), MATCH(TRUE, ISNUMBER(SEARCH(O$103, 'AC and RGM only'!$D$2:$J$2)), 0))</f>
        <v>0.42</v>
      </c>
      <c r="R106">
        <f>AVERAGE(C106:O106)</f>
        <v>0.32</v>
      </c>
    </row>
    <row r="107">
      <c r="B107" t="str">
        <v>FlatBread</v>
      </c>
      <c r="C107" cm="1">
        <f t="array" ref="C107">INDEX('AC and RGM only'!$N$1:$T$150, MATCH(TRUE, ISNUMBER(SEARCH($B$107, 'AC and RGM only'!$L$1:$L$150)), 0), MATCH(TRUE, ISNUMBER(SEARCH(C$103, 'AC and RGM only'!$D$2:$J$2)), 0))</f>
        <v>0.36</v>
      </c>
      <c r="E107" cm="1">
        <f t="array" ref="E107">INDEX('AC and RGM only'!$N$1:$T$150, MATCH(TRUE, ISNUMBER(SEARCH($B$107, 'AC and RGM only'!$L$1:$L$150)), 0), MATCH(TRUE, ISNUMBER(SEARCH(E$103, 'AC and RGM only'!$D$2:$J$2)), 0))</f>
        <v>0.4</v>
      </c>
      <c r="G107" cm="1">
        <f t="array" ref="G107">INDEX('AC and RGM only'!$N$1:$T$150, MATCH(TRUE, ISNUMBER(SEARCH($B$107, 'AC and RGM only'!$L$1:$L$150)), 0), MATCH(TRUE, ISNUMBER(SEARCH(G$103, 'AC and RGM only'!$D$2:$J$2)), 0))</f>
        <v>0.48</v>
      </c>
      <c r="I107" cm="1">
        <f t="array" ref="I107">INDEX('AC and RGM only'!$N$1:$T$150, MATCH(TRUE, ISNUMBER(SEARCH($B$107, 'AC and RGM only'!$L$1:$L$150)), 0), MATCH(TRUE, ISNUMBER(SEARCH(I$103, 'AC and RGM only'!$D$2:$J$2)), 0))</f>
        <v>0.51</v>
      </c>
      <c r="K107" cm="1">
        <f t="array" ref="K107">INDEX('AC and RGM only'!$N$1:$T$150, MATCH(TRUE, ISNUMBER(SEARCH($B$107, 'AC and RGM only'!$L$1:$L$150)), 0), MATCH(TRUE, ISNUMBER(SEARCH(K$103, 'AC and RGM only'!$D$2:$J$2)), 0))</f>
        <v>0.88</v>
      </c>
      <c r="M107" cm="1">
        <f t="array" ref="M107">INDEX('AC and RGM only'!$N$1:$T$150, MATCH(TRUE, ISNUMBER(SEARCH($B$107, 'AC and RGM only'!$L$1:$L$150)), 0), MATCH(TRUE, ISNUMBER(SEARCH(M$103, 'AC and RGM only'!$D$2:$J$2)), 0))</f>
        <v>0.75</v>
      </c>
      <c r="O107" cm="1">
        <f t="array" ref="O107">INDEX('AC and RGM only'!$N$1:$T$150, MATCH(TRUE, ISNUMBER(SEARCH($B$107, 'AC and RGM only'!$L$1:$L$150)), 0), MATCH(TRUE, ISNUMBER(SEARCH(O$103, 'AC and RGM only'!$D$2:$J$2)), 0))</f>
        <v>0.72</v>
      </c>
      <c r="R107">
        <f>AVERAGE(C107:O107)</f>
        <v>0.5857142857142856</v>
      </c>
    </row>
    <row r="108">
      <c r="B108" t="str">
        <v>CORN 6 INCH</v>
      </c>
      <c r="C108" cm="1">
        <f t="array" ref="C108">INDEX('AC and RGM only'!$N$1:$T$150, MATCH(TRUE, ISNUMBER(SEARCH($B$108, 'AC and RGM only'!$L$1:$L$150)), 0), MATCH(TRUE, ISNUMBER(SEARCH(C$103, 'AC and RGM only'!$D$2:$J$2)), 0))</f>
        <v>0.52</v>
      </c>
      <c r="E108" cm="1">
        <f t="array" ref="E108">INDEX('AC and RGM only'!$N$1:$T$150, MATCH(TRUE, ISNUMBER(SEARCH($B$108, 'AC and RGM only'!$L$1:$L$150)), 0), MATCH(TRUE, ISNUMBER(SEARCH(E$103, 'AC and RGM only'!$D$2:$J$2)), 0))</f>
        <v>0.45</v>
      </c>
      <c r="G108" cm="1">
        <f t="array" ref="G108">INDEX('AC and RGM only'!$N$1:$T$150, MATCH(TRUE, ISNUMBER(SEARCH($B$108, 'AC and RGM only'!$L$1:$L$150)), 0), MATCH(TRUE, ISNUMBER(SEARCH(G$103, 'AC and RGM only'!$D$2:$J$2)), 0))</f>
        <v>0.63</v>
      </c>
      <c r="I108" cm="1">
        <f t="array" ref="I108">INDEX('AC and RGM only'!$N$1:$T$150, MATCH(TRUE, ISNUMBER(SEARCH($B$108, 'AC and RGM only'!$L$1:$L$150)), 0), MATCH(TRUE, ISNUMBER(SEARCH(I$103, 'AC and RGM only'!$D$2:$J$2)), 0))</f>
        <v>0.61</v>
      </c>
      <c r="K108" cm="1">
        <f t="array" ref="K108">INDEX('AC and RGM only'!$N$1:$T$150, MATCH(TRUE, ISNUMBER(SEARCH($B$108, 'AC and RGM only'!$L$1:$L$150)), 0), MATCH(TRUE, ISNUMBER(SEARCH(K$103, 'AC and RGM only'!$D$2:$J$2)), 0))</f>
        <v>0.95</v>
      </c>
      <c r="M108" cm="1">
        <f t="array" ref="M108">INDEX('AC and RGM only'!$N$1:$T$150, MATCH(TRUE, ISNUMBER(SEARCH($B$108, 'AC and RGM only'!$L$1:$L$150)), 0), MATCH(TRUE, ISNUMBER(SEARCH(M$103, 'AC and RGM only'!$D$2:$J$2)), 0))</f>
        <v>0.88</v>
      </c>
      <c r="O108" cm="1">
        <f t="array" ref="O108">INDEX('AC and RGM only'!$N$1:$T$150, MATCH(TRUE, ISNUMBER(SEARCH($B$108, 'AC and RGM only'!$L$1:$L$150)), 0), MATCH(TRUE, ISNUMBER(SEARCH(O$103, 'AC and RGM only'!$D$2:$J$2)), 0))</f>
        <v>0.79</v>
      </c>
      <c r="R108">
        <f>AVERAGE(C108:O108)</f>
        <v>0.6900000000000001</v>
      </c>
    </row>
    <row r="109">
      <c r="B109" t="str">
        <v>CHIP NACHO</v>
      </c>
      <c r="C109" cm="1">
        <f t="array" ref="C109">INDEX('AC and RGM only'!$N$1:$T$150, MATCH(TRUE, ISNUMBER(SEARCH($B$109, 'AC and RGM only'!$L$1:$L$150)), 0), MATCH(TRUE, ISNUMBER(SEARCH(C$103, 'AC and RGM only'!$D$2:$J$2)), 0))</f>
        <v>0.66</v>
      </c>
      <c r="E109" cm="1">
        <f t="array" ref="E109">INDEX('AC and RGM only'!$N$1:$T$150, MATCH(TRUE, ISNUMBER(SEARCH($B$109, 'AC and RGM only'!$L$1:$L$150)), 0), MATCH(TRUE, ISNUMBER(SEARCH(E$103, 'AC and RGM only'!$D$2:$J$2)), 0))</f>
        <v>0.72</v>
      </c>
      <c r="G109" cm="1">
        <f t="array" ref="G109">INDEX('AC and RGM only'!$N$1:$T$150, MATCH(TRUE, ISNUMBER(SEARCH($B$109, 'AC and RGM only'!$L$1:$L$150)), 0), MATCH(TRUE, ISNUMBER(SEARCH(G$103, 'AC and RGM only'!$D$2:$J$2)), 0))</f>
        <v>0.8</v>
      </c>
      <c r="I109" cm="1">
        <f t="array" ref="I109">INDEX('AC and RGM only'!$N$1:$T$150, MATCH(TRUE, ISNUMBER(SEARCH($B$109, 'AC and RGM only'!$L$1:$L$150)), 0), MATCH(TRUE, ISNUMBER(SEARCH(I$103, 'AC and RGM only'!$D$2:$J$2)), 0))</f>
        <v>0.76</v>
      </c>
      <c r="K109" cm="1">
        <f t="array" ref="K109">INDEX('AC and RGM only'!$N$1:$T$150, MATCH(TRUE, ISNUMBER(SEARCH($B$109, 'AC and RGM only'!$L$1:$L$150)), 0), MATCH(TRUE, ISNUMBER(SEARCH(K$103, 'AC and RGM only'!$D$2:$J$2)), 0))</f>
        <v>0.98</v>
      </c>
      <c r="M109" cm="1">
        <f t="array" ref="M109">INDEX('AC and RGM only'!$N$1:$T$150, MATCH(TRUE, ISNUMBER(SEARCH($B$109, 'AC and RGM only'!$L$1:$L$150)), 0), MATCH(TRUE, ISNUMBER(SEARCH(M$103, 'AC and RGM only'!$D$2:$J$2)), 0))</f>
        <v>1.06</v>
      </c>
      <c r="O109" cm="1">
        <f t="array" ref="O109">INDEX('AC and RGM only'!$N$1:$T$150, MATCH(TRUE, ISNUMBER(SEARCH($B$109, 'AC and RGM only'!$L$1:$L$150)), 0), MATCH(TRUE, ISNUMBER(SEARCH(O$103, 'AC and RGM only'!$D$2:$J$2)), 0))</f>
        <v>0.77</v>
      </c>
      <c r="R109">
        <f>AVERAGE(C109:O109)</f>
        <v>0.8214285714285714</v>
      </c>
    </row>
    <row r="110">
      <c r="B110" t="str">
        <v>BEEF</v>
      </c>
      <c r="C110" cm="1">
        <f t="array" ref="C110">INDEX('AC and RGM only'!$N3:$T152, MATCH(TRUE, ISNUMBER(SEARCH($B$110, 'AC and RGM only'!$L3:$L152)), 0), MATCH(TRUE, ISNUMBER(SEARCH(C$103, 'AC and RGM only'!$D$2:$J$2)), 0))</f>
        <v>1.14</v>
      </c>
      <c r="E110" cm="1">
        <f t="array" ref="E110">INDEX('AC and RGM only'!$N3:$T152, MATCH(TRUE, ISNUMBER(SEARCH($B$110, 'AC and RGM only'!$L3:$L152)), 0), MATCH(TRUE, ISNUMBER(SEARCH(E$103, 'AC and RGM only'!$D$2:$J$2)), 0))</f>
        <v>1.23</v>
      </c>
      <c r="G110" cm="1">
        <f t="array" ref="G110">INDEX('AC and RGM only'!$N3:$T152, MATCH(TRUE, ISNUMBER(SEARCH($B$110, 'AC and RGM only'!$L3:$L152)), 0), MATCH(TRUE, ISNUMBER(SEARCH(G$103, 'AC and RGM only'!$D$2:$J$2)), 0))</f>
        <v>1.46</v>
      </c>
      <c r="I110" cm="1">
        <f t="array" ref="I110">INDEX('AC and RGM only'!$N3:$T152, MATCH(TRUE, ISNUMBER(SEARCH($B$110, 'AC and RGM only'!$L3:$L152)), 0), MATCH(TRUE, ISNUMBER(SEARCH(I$103, 'AC and RGM only'!$D$2:$J$2)), 0))</f>
        <v>1.41</v>
      </c>
      <c r="K110" cm="1">
        <f t="array" ref="K110">INDEX('AC and RGM only'!$N3:$T152, MATCH(TRUE, ISNUMBER(SEARCH($B$110, 'AC and RGM only'!$L3:$L152)), 0), MATCH(TRUE, ISNUMBER(SEARCH(K$103, 'AC and RGM only'!$D$2:$J$2)), 0))</f>
        <v>1.96</v>
      </c>
      <c r="M110" cm="1">
        <f t="array" ref="M110">INDEX('AC and RGM only'!$N3:$T152, MATCH(TRUE, ISNUMBER(SEARCH($B$110, 'AC and RGM only'!$L3:$L152)), 0), MATCH(TRUE, ISNUMBER(SEARCH(M$103, 'AC and RGM only'!$D$2:$J$2)), 0))</f>
        <v>2.17</v>
      </c>
      <c r="O110" cm="1">
        <f t="array" ref="O110">INDEX('AC and RGM only'!$N3:$T152, MATCH(TRUE, ISNUMBER(SEARCH($B$110, 'AC and RGM only'!$L3:$L152)), 0), MATCH(TRUE, ISNUMBER(SEARCH(O$103, 'AC and RGM only'!$D$2:$J$2)), 0))</f>
        <v>1.75</v>
      </c>
      <c r="R110">
        <f>AVERAGE(C110:O110)</f>
        <v>1.5885714285714287</v>
      </c>
    </row>
    <row r="112">
      <c r="E112" t="str">
        <v>WEEKLY THAWING BUILD TOS</v>
      </c>
      <c r="O112" t="str">
        <v>Data Range:</v>
      </c>
    </row>
    <row r="113">
      <c r="O113" t="str">
        <f>TRIM(RIGHT(SUBSTITUTE('AC and RGM only'!D2,CHAR(10),REPT(" ",100)),100)) &amp; " to " &amp; TRIM(RIGHT(SUBSTITUTE('AC and RGM only'!J2,CHAR(10),REPT(" ",100)),100))</f>
        <v>14-Jul-26 to 20-Jul-26</v>
      </c>
    </row>
    <row r="115">
      <c r="C115" t="str">
        <v>MONDAY</v>
      </c>
      <c r="H115" t="str">
        <v>TUESDAY</v>
      </c>
      <c r="M115" t="str">
        <v>WEDNESDAY</v>
      </c>
    </row>
    <row r="116">
      <c r="C116" t="str">
        <v>ITEM</v>
      </c>
      <c r="E116" t="str">
        <v>AMOUNT</v>
      </c>
      <c r="H116" t="str">
        <v>ITEM</v>
      </c>
      <c r="J116" t="str">
        <v>AMOUNT</v>
      </c>
      <c r="M116" t="str">
        <v>ITEM</v>
      </c>
      <c r="O116" t="str">
        <v>AMOUNT</v>
      </c>
    </row>
    <row r="117">
      <c r="C117" t="str">
        <v>12 INCHES</v>
      </c>
      <c r="E117" t="str">
        <f>SUM(C104:H104) &amp; " BOXES"</f>
        <v>2.14 BOXES</v>
      </c>
      <c r="H117" t="str">
        <v>12 INCHES</v>
      </c>
      <c r="J117" t="str">
        <f>SUM(E104:J104) &amp; " BOXES"</f>
        <v>2.35 BOXES</v>
      </c>
      <c r="M117" t="str">
        <v>12 INCHES</v>
      </c>
      <c r="O117" t="str">
        <f>SUM(G104:L104) &amp; " BOXES"</f>
        <v>2.97 BOXES</v>
      </c>
    </row>
    <row r="118">
      <c r="C118" t="str">
        <v>10 INCHES</v>
      </c>
      <c r="E118" t="str">
        <f>SUM(C105:H105) &amp; " BOXES"</f>
        <v>2.59 BOXES</v>
      </c>
      <c r="H118" t="str">
        <v>10 INCHES</v>
      </c>
      <c r="J118" t="str">
        <f>SUM(E105:J105) &amp; " BOXES"</f>
        <v>2.94 BOXES</v>
      </c>
      <c r="M118" t="str">
        <v>10 INCHES</v>
      </c>
      <c r="O118" t="str">
        <f>SUM(G105:L105) &amp; " BOXES"</f>
        <v>3.48 BOXES</v>
      </c>
    </row>
    <row r="119">
      <c r="C119" t="str">
        <v>6 INCHES</v>
      </c>
      <c r="E119" t="str">
        <f>SUM(C106:H106) &amp; " BOXES"</f>
        <v>0.76 BOXES</v>
      </c>
      <c r="H119" t="str">
        <v>6 INCHES</v>
      </c>
      <c r="J119" t="str">
        <f>SUM(E106:J106) &amp; " BOXES"</f>
        <v>0.82 BOXES</v>
      </c>
      <c r="M119" t="str">
        <v>6 INCHES</v>
      </c>
      <c r="O119" t="str">
        <f>SUM(G106:L106) &amp; " BOXES"</f>
        <v>0.94 BOXES</v>
      </c>
    </row>
    <row r="120">
      <c r="C120" t="str">
        <v>FLATBREADS</v>
      </c>
      <c r="E120" t="str">
        <f>SUM(C107:H107) &amp; " BOXES"</f>
        <v>1.24 BOXES</v>
      </c>
      <c r="H120" t="str">
        <v>FLATBREADS</v>
      </c>
      <c r="J120" t="str">
        <f>SUM(E107:J107) &amp; " BOXES"</f>
        <v>1.39 BOXES</v>
      </c>
      <c r="M120" t="str">
        <v>FLATBREADS</v>
      </c>
      <c r="O120" t="str">
        <f>SUM(G107:L107) &amp; " BOXES"</f>
        <v>1.87 BOXES</v>
      </c>
    </row>
    <row r="121">
      <c r="C121" t="str">
        <v>TOSTADAS</v>
      </c>
      <c r="E121" t="str">
        <f>SUM(C108:H108) &amp; " BOXES"</f>
        <v>1.6 BOXES</v>
      </c>
      <c r="H121" t="str">
        <v>TOSTADAS</v>
      </c>
      <c r="J121" t="str">
        <f>SUM(E108:J108) &amp; " BOXES"</f>
        <v>1.69 BOXES</v>
      </c>
      <c r="M121" t="str">
        <v>TOSTADAS</v>
      </c>
      <c r="O121" t="str">
        <f>SUM(G108:L108) &amp; " BOXES"</f>
        <v>2.19 BOXES</v>
      </c>
    </row>
    <row r="122">
      <c r="C122" t="str">
        <v>NACHO CHIPS</v>
      </c>
      <c r="E122" t="str">
        <f>SUM(C109:H109) &amp; " BOXES"</f>
        <v>2.18 BOXES</v>
      </c>
      <c r="H122" t="str">
        <v>NACHO CHIPS</v>
      </c>
      <c r="J122" t="str">
        <f>SUM(E109:J109) &amp; " BOXES"</f>
        <v>2.28 BOXES</v>
      </c>
      <c r="M122" t="str">
        <v>NACHO CHIPS</v>
      </c>
      <c r="O122" t="str">
        <f>SUM(G109:L109) &amp; " BOXES"</f>
        <v>2.54 BOXES</v>
      </c>
    </row>
    <row r="123">
      <c r="C123" t="str">
        <v>BEEF</v>
      </c>
      <c r="E123" t="str">
        <f>ROUND(SUM(E110+G110+I110/2),1) &amp; " BOXES"</f>
        <v>3.4 BOXES</v>
      </c>
      <c r="F123" t="str">
        <f>ROUND(SUM(E110+G110+I110/2)*8,0) &amp; " BAGS"</f>
        <v>27 BAGS</v>
      </c>
      <c r="H123" t="str">
        <v>BEEF</v>
      </c>
      <c r="J123" t="str">
        <f>ROUND(SUM(G110+I110+K110/2),1)&amp;" BOXES"</f>
        <v>3.9 BOXES</v>
      </c>
      <c r="K123" t="str">
        <f>ROUND(SUM(G110+I110+K110/2)*8,0) &amp; " BAGS"</f>
        <v>31 BAGS</v>
      </c>
      <c r="M123" t="str">
        <v>BEEF</v>
      </c>
      <c r="O123" t="str">
        <f>ROUND(SUM(I110+K110+M110/2),1) &amp; " BOXES"</f>
        <v>4.5 BOXES</v>
      </c>
      <c r="P123" t="str">
        <f>ROUND(SUM(I110+K110+M110/2)*8,0) &amp; " BAGS"</f>
        <v>36 BAGS</v>
      </c>
    </row>
    <row r="125">
      <c r="C125" t="str">
        <v>THURSDAY</v>
      </c>
      <c r="H125" t="str">
        <v>FRIDAY</v>
      </c>
      <c r="M125" t="str">
        <v>SATURDAY</v>
      </c>
    </row>
    <row r="126">
      <c r="C126" t="str">
        <v>ITEM</v>
      </c>
      <c r="E126" t="str">
        <v>AMOUNT</v>
      </c>
      <c r="H126" t="str">
        <v>ITEM</v>
      </c>
      <c r="J126" t="str">
        <v>AMOUNT</v>
      </c>
      <c r="M126" t="str">
        <v>ITEM</v>
      </c>
      <c r="O126" t="str">
        <v>AMOUNT</v>
      </c>
    </row>
    <row r="127">
      <c r="C127" t="str">
        <v>12 INCHES</v>
      </c>
      <c r="E127" t="str">
        <f>SUM(I104:N104) &amp; " BOXES"</f>
        <v>3.27 BOXES</v>
      </c>
      <c r="H127" t="str">
        <v>12 INCHES</v>
      </c>
      <c r="J127" t="str">
        <f>SUM(K104:P104) &amp; " BOXES"</f>
        <v>3.65 BOXES</v>
      </c>
      <c r="M127" t="str">
        <v>12 INCHES</v>
      </c>
      <c r="O127" t="str">
        <f>SUM(M104+O104+C104) &amp; " BOXES"</f>
        <v>3.01 BOXES</v>
      </c>
    </row>
    <row r="128">
      <c r="C128" t="str">
        <v>10 INCHES</v>
      </c>
      <c r="E128" t="str">
        <f>SUM(I105:N105) &amp; " BOXES"</f>
        <v>3.84 BOXES</v>
      </c>
      <c r="H128" t="str">
        <v>10 INCHES</v>
      </c>
      <c r="J128" t="str">
        <f>SUM(K105:P105) &amp; " BOXES"</f>
        <v>3.98 BOXES</v>
      </c>
      <c r="M128" t="str">
        <v>10 INCHES</v>
      </c>
      <c r="O128" t="str">
        <f>SUM(M105+O105+C105) &amp; " BOXES"</f>
        <v>3.34 BOXES</v>
      </c>
    </row>
    <row r="129">
      <c r="C129" t="str">
        <v>6 INCHES</v>
      </c>
      <c r="E129" t="str">
        <f>SUM(I106:N106) &amp; " BOXES"</f>
        <v>1.06 BOXES</v>
      </c>
      <c r="H129" t="str">
        <v>6 INCHES</v>
      </c>
      <c r="J129" t="str">
        <f>SUM(K106:P106) &amp; " BOXES"</f>
        <v>1.2 BOXES</v>
      </c>
      <c r="M129" t="str">
        <v>6 INCHES</v>
      </c>
      <c r="O129" t="str">
        <f>SUM(M106+O106+C106) &amp; " BOXES"</f>
        <v>1.08 BOXES</v>
      </c>
    </row>
    <row r="130">
      <c r="C130" t="str">
        <v>FLATBREADS</v>
      </c>
      <c r="E130" t="str">
        <f>SUM(I107:N107) &amp; " BOXES"</f>
        <v>2.14 BOXES</v>
      </c>
      <c r="H130" t="str">
        <v>FLATBREADS</v>
      </c>
      <c r="J130" t="str">
        <f>SUM(K107:P107) &amp; " BOXES"</f>
        <v>2.35 BOXES</v>
      </c>
      <c r="M130" t="str">
        <v>FLATBREADS</v>
      </c>
      <c r="O130" t="str">
        <f>SUM(M107+O107+C107) &amp; " BOXES"</f>
        <v>1.83 BOXES</v>
      </c>
    </row>
    <row r="131">
      <c r="C131" t="str">
        <v>TOSTADAS</v>
      </c>
      <c r="E131" t="str">
        <f>SUM(I108:N108) &amp; " BOXES"</f>
        <v>2.44 BOXES</v>
      </c>
      <c r="H131" t="str">
        <v>TOSTADAS</v>
      </c>
      <c r="J131" t="str">
        <f>SUM(K108:P108) &amp; " BOXES"</f>
        <v>2.62 BOXES</v>
      </c>
      <c r="M131" t="str">
        <v>TOSTADAS</v>
      </c>
      <c r="O131" t="str">
        <f>SUM(M108+O108+C108) &amp; " BOXES"</f>
        <v>2.19 BOXES</v>
      </c>
    </row>
    <row r="132">
      <c r="C132" t="str">
        <v>NACHO CHIPS</v>
      </c>
      <c r="E132" t="str">
        <f>SUM(I109:N109) &amp; " BOXES"</f>
        <v>2.8 BOXES</v>
      </c>
      <c r="H132" t="str">
        <v>NACHO CHIPS</v>
      </c>
      <c r="J132" t="str">
        <f>SUM(K109:P109) &amp; " BOXES"</f>
        <v>2.81 BOXES</v>
      </c>
      <c r="M132" t="str">
        <v>NACHO CHIPS</v>
      </c>
      <c r="O132" t="str">
        <f>SUM(M109+O109+C109) &amp; " BOXES"</f>
        <v>2.49 BOXES</v>
      </c>
    </row>
    <row r="133">
      <c r="C133" t="str">
        <v>BEEF</v>
      </c>
      <c r="E133" t="str">
        <f>ROUND(SUM(K110+M110+O110/2),1) &amp; " BOXES"</f>
        <v>5 BOXES</v>
      </c>
      <c r="F133" t="str">
        <f>ROUND(SUM(K110+M110+O110/2)*8,0) &amp; " BAGS"</f>
        <v>40 BAGS</v>
      </c>
      <c r="H133" t="str">
        <v>BEEF</v>
      </c>
      <c r="J133" t="str">
        <f>ROUND(SUM(M110+O110+C110/2),1) &amp; " BOXES"</f>
        <v>4.5 BOXES</v>
      </c>
      <c r="K133" t="str">
        <f>ROUND(SUM(M110+O110+C110/2)*8,0) &amp; " BAGS"</f>
        <v>36 BAGS</v>
      </c>
      <c r="M133" t="str">
        <v>BEEF</v>
      </c>
      <c r="O133" t="str">
        <f>ROUND(SUM(O110+C110+E110/2),1) &amp; " BOXES"</f>
        <v>3.5 BOXES</v>
      </c>
      <c r="P133" t="str">
        <f>ROUND(SUM(O110+C110+E110/2)*8,0) &amp; " BAGS"</f>
        <v>28 BAGS</v>
      </c>
    </row>
    <row r="135">
      <c r="H135" t="str">
        <v>SUNDAY</v>
      </c>
    </row>
    <row r="136">
      <c r="H136" t="str">
        <v>ITEM</v>
      </c>
      <c r="J136" t="str">
        <v>AMOUNT</v>
      </c>
    </row>
    <row r="137">
      <c r="H137" t="str">
        <v>12 INCHES</v>
      </c>
      <c r="J137" t="str">
        <f>SUM(O104+C104+E104) &amp; " BOXES"</f>
        <v>2.47 BOXES</v>
      </c>
    </row>
    <row r="138">
      <c r="H138" t="str">
        <v>10 INCHES</v>
      </c>
      <c r="J138" t="str">
        <f>SUM(O105+C105+E105) &amp; " BOXES"</f>
        <v>2.69 BOXES</v>
      </c>
    </row>
    <row r="139">
      <c r="H139" t="str">
        <v>6 INCHES</v>
      </c>
      <c r="J139" t="str">
        <f>SUM(O106+C106+E106) &amp; " BOXES"</f>
        <v>0.86 BOXES</v>
      </c>
    </row>
    <row r="140">
      <c r="H140" t="str">
        <v>FLATBREADS</v>
      </c>
      <c r="J140" t="str">
        <f>SUM(O107+C107+E107) &amp; " BOXES"</f>
        <v>1.48 BOXES</v>
      </c>
    </row>
    <row r="141">
      <c r="H141" t="str">
        <v>TOSTADAS</v>
      </c>
      <c r="J141" t="str">
        <f>SUM(O108+C108+E108) &amp; " BOXES"</f>
        <v>1.76 BOXES</v>
      </c>
    </row>
    <row r="142">
      <c r="H142" t="str">
        <v>NACHO CHIPS</v>
      </c>
      <c r="J142" t="str">
        <f>SUM(O109+C109+E109) &amp; " BOXES"</f>
        <v>2.15 BOXES</v>
      </c>
    </row>
    <row r="143">
      <c r="H143" t="str">
        <v>BEEF</v>
      </c>
      <c r="J143" t="str">
        <f>ROUND(SUM(C110+E110+G110/2),1) &amp; " BOXES"</f>
        <v>3.1 BOXES</v>
      </c>
      <c r="K143" t="str">
        <f>ROUND(SUM(C110+E110+G110/2)*8,0) &amp; " BAGS"</f>
        <v>25 BAGS</v>
      </c>
    </row>
  </sheetData>
  <mergeCells count="514">
    <mergeCell ref="J128:K128"/>
    <mergeCell ref="C128:D128"/>
    <mergeCell ref="E128:F128"/>
    <mergeCell ref="H142:I142"/>
    <mergeCell ref="J142:K142"/>
    <mergeCell ref="H143:I143"/>
    <mergeCell ref="M132:N132"/>
    <mergeCell ref="O132:P132"/>
    <mergeCell ref="C133:D133"/>
    <mergeCell ref="H133:I133"/>
    <mergeCell ref="M133:N133"/>
    <mergeCell ref="H135:K135"/>
    <mergeCell ref="H132:I132"/>
    <mergeCell ref="J132:K132"/>
    <mergeCell ref="C129:D129"/>
    <mergeCell ref="E129:F129"/>
    <mergeCell ref="H129:I129"/>
    <mergeCell ref="M129:N129"/>
    <mergeCell ref="O129:P129"/>
    <mergeCell ref="C130:D130"/>
    <mergeCell ref="E130:F130"/>
    <mergeCell ref="H130:I130"/>
    <mergeCell ref="J130:K130"/>
    <mergeCell ref="J129:K129"/>
    <mergeCell ref="C132:D132"/>
    <mergeCell ref="E132:F132"/>
    <mergeCell ref="E126:F126"/>
    <mergeCell ref="H126:I126"/>
    <mergeCell ref="J126:K126"/>
    <mergeCell ref="M126:N126"/>
    <mergeCell ref="O126:P126"/>
    <mergeCell ref="C127:D127"/>
    <mergeCell ref="E127:F127"/>
    <mergeCell ref="H127:I127"/>
    <mergeCell ref="M127:N127"/>
    <mergeCell ref="O127:P127"/>
    <mergeCell ref="J127:K127"/>
    <mergeCell ref="M130:N130"/>
    <mergeCell ref="O130:P130"/>
    <mergeCell ref="C131:D131"/>
    <mergeCell ref="E131:F131"/>
    <mergeCell ref="H131:I131"/>
    <mergeCell ref="J131:K131"/>
    <mergeCell ref="M131:N131"/>
    <mergeCell ref="O131:P131"/>
    <mergeCell ref="H128:I128"/>
    <mergeCell ref="M128:N128"/>
    <mergeCell ref="O128:P128"/>
    <mergeCell ref="M121:N121"/>
    <mergeCell ref="O121:P121"/>
    <mergeCell ref="M122:N122"/>
    <mergeCell ref="O122:P122"/>
    <mergeCell ref="C123:D123"/>
    <mergeCell ref="H123:I123"/>
    <mergeCell ref="M123:N123"/>
    <mergeCell ref="A125:A150"/>
    <mergeCell ref="C125:F125"/>
    <mergeCell ref="H125:K125"/>
    <mergeCell ref="M125:P125"/>
    <mergeCell ref="C126:D126"/>
    <mergeCell ref="H140:I140"/>
    <mergeCell ref="J140:K140"/>
    <mergeCell ref="H141:I141"/>
    <mergeCell ref="J141:K141"/>
    <mergeCell ref="J137:K137"/>
    <mergeCell ref="J138:K138"/>
    <mergeCell ref="J139:K139"/>
    <mergeCell ref="H137:I137"/>
    <mergeCell ref="H138:I138"/>
    <mergeCell ref="H139:I139"/>
    <mergeCell ref="H136:I136"/>
    <mergeCell ref="J136:K136"/>
    <mergeCell ref="M118:N118"/>
    <mergeCell ref="O118:P118"/>
    <mergeCell ref="C119:D119"/>
    <mergeCell ref="E119:F119"/>
    <mergeCell ref="H119:I119"/>
    <mergeCell ref="M119:N119"/>
    <mergeCell ref="O119:P119"/>
    <mergeCell ref="H120:I120"/>
    <mergeCell ref="J120:K120"/>
    <mergeCell ref="M120:N120"/>
    <mergeCell ref="O120:P120"/>
    <mergeCell ref="M116:N116"/>
    <mergeCell ref="O116:P116"/>
    <mergeCell ref="C117:D117"/>
    <mergeCell ref="E117:F117"/>
    <mergeCell ref="H117:I117"/>
    <mergeCell ref="M117:N117"/>
    <mergeCell ref="O117:P117"/>
    <mergeCell ref="G110:H110"/>
    <mergeCell ref="I110:J110"/>
    <mergeCell ref="O110:P110"/>
    <mergeCell ref="E112:N113"/>
    <mergeCell ref="O112:P112"/>
    <mergeCell ref="O113:P113"/>
    <mergeCell ref="C116:D116"/>
    <mergeCell ref="E116:F116"/>
    <mergeCell ref="H116:I116"/>
    <mergeCell ref="J116:K116"/>
    <mergeCell ref="C115:F115"/>
    <mergeCell ref="H115:K115"/>
    <mergeCell ref="M115:P115"/>
    <mergeCell ref="K110:L110"/>
    <mergeCell ref="M110:N110"/>
    <mergeCell ref="C110:D110"/>
    <mergeCell ref="E110:F110"/>
    <mergeCell ref="G108:H108"/>
    <mergeCell ref="I108:J108"/>
    <mergeCell ref="O108:P108"/>
    <mergeCell ref="C109:D109"/>
    <mergeCell ref="E109:F109"/>
    <mergeCell ref="G109:H109"/>
    <mergeCell ref="I109:J109"/>
    <mergeCell ref="O109:P109"/>
    <mergeCell ref="G106:H106"/>
    <mergeCell ref="I106:J106"/>
    <mergeCell ref="O106:P106"/>
    <mergeCell ref="C107:D107"/>
    <mergeCell ref="E107:F107"/>
    <mergeCell ref="G107:H107"/>
    <mergeCell ref="I107:J107"/>
    <mergeCell ref="O107:P107"/>
    <mergeCell ref="K109:L109"/>
    <mergeCell ref="M109:N109"/>
    <mergeCell ref="K108:L108"/>
    <mergeCell ref="M108:N108"/>
    <mergeCell ref="C108:D108"/>
    <mergeCell ref="E108:F108"/>
    <mergeCell ref="K107:L107"/>
    <mergeCell ref="M107:N107"/>
    <mergeCell ref="O104:P104"/>
    <mergeCell ref="C105:D105"/>
    <mergeCell ref="E105:F105"/>
    <mergeCell ref="G105:H105"/>
    <mergeCell ref="I105:J105"/>
    <mergeCell ref="O105:P105"/>
    <mergeCell ref="C103:D103"/>
    <mergeCell ref="E103:F103"/>
    <mergeCell ref="G103:H103"/>
    <mergeCell ref="I103:J103"/>
    <mergeCell ref="K103:L103"/>
    <mergeCell ref="C104:D104"/>
    <mergeCell ref="E104:F104"/>
    <mergeCell ref="G104:H104"/>
    <mergeCell ref="I104:J104"/>
    <mergeCell ref="O103:P103"/>
    <mergeCell ref="C122:D122"/>
    <mergeCell ref="E122:F122"/>
    <mergeCell ref="H122:I122"/>
    <mergeCell ref="J122:K122"/>
    <mergeCell ref="C120:D120"/>
    <mergeCell ref="E120:F120"/>
    <mergeCell ref="J118:K118"/>
    <mergeCell ref="J117:K117"/>
    <mergeCell ref="J119:K119"/>
    <mergeCell ref="C118:D118"/>
    <mergeCell ref="E118:F118"/>
    <mergeCell ref="H118:I118"/>
    <mergeCell ref="C121:D121"/>
    <mergeCell ref="E121:F121"/>
    <mergeCell ref="H121:I121"/>
    <mergeCell ref="J121:K121"/>
    <mergeCell ref="K106:L106"/>
    <mergeCell ref="M106:N106"/>
    <mergeCell ref="C106:D106"/>
    <mergeCell ref="E106:F106"/>
    <mergeCell ref="K105:L105"/>
    <mergeCell ref="M105:N105"/>
    <mergeCell ref="K104:L104"/>
    <mergeCell ref="M104:N104"/>
    <mergeCell ref="M103:N103"/>
    <mergeCell ref="M40:N40"/>
    <mergeCell ref="O40:P40"/>
    <mergeCell ref="C79:F79"/>
    <mergeCell ref="H79:K79"/>
    <mergeCell ref="M79:P79"/>
    <mergeCell ref="C80:D80"/>
    <mergeCell ref="E80:F80"/>
    <mergeCell ref="H80:I80"/>
    <mergeCell ref="J80:K80"/>
    <mergeCell ref="M80:N80"/>
    <mergeCell ref="C76:D76"/>
    <mergeCell ref="E76:F76"/>
    <mergeCell ref="H76:I76"/>
    <mergeCell ref="J76:K76"/>
    <mergeCell ref="M76:N76"/>
    <mergeCell ref="O76:P76"/>
    <mergeCell ref="C75:D75"/>
    <mergeCell ref="E75:F75"/>
    <mergeCell ref="H75:I75"/>
    <mergeCell ref="J75:K75"/>
    <mergeCell ref="M75:N75"/>
    <mergeCell ref="O75:P75"/>
    <mergeCell ref="C74:D74"/>
    <mergeCell ref="E74:F74"/>
    <mergeCell ref="H101:I101"/>
    <mergeCell ref="J101:K101"/>
    <mergeCell ref="C40:D40"/>
    <mergeCell ref="E40:F40"/>
    <mergeCell ref="G40:H40"/>
    <mergeCell ref="I40:J40"/>
    <mergeCell ref="K40:L40"/>
    <mergeCell ref="H98:I98"/>
    <mergeCell ref="J98:K98"/>
    <mergeCell ref="H99:I99"/>
    <mergeCell ref="J99:K99"/>
    <mergeCell ref="H100:I100"/>
    <mergeCell ref="J100:K100"/>
    <mergeCell ref="H95:I95"/>
    <mergeCell ref="J95:K95"/>
    <mergeCell ref="H96:I96"/>
    <mergeCell ref="J96:K96"/>
    <mergeCell ref="H97:I97"/>
    <mergeCell ref="J97:K97"/>
    <mergeCell ref="H91:K91"/>
    <mergeCell ref="H92:I92"/>
    <mergeCell ref="J92:K92"/>
    <mergeCell ref="H93:I93"/>
    <mergeCell ref="J93:K93"/>
    <mergeCell ref="H94:I94"/>
    <mergeCell ref="J94:K94"/>
    <mergeCell ref="C89:D89"/>
    <mergeCell ref="E89:F89"/>
    <mergeCell ref="H89:I89"/>
    <mergeCell ref="J89:K89"/>
    <mergeCell ref="M89:N89"/>
    <mergeCell ref="O89:P89"/>
    <mergeCell ref="C88:D88"/>
    <mergeCell ref="E88:F88"/>
    <mergeCell ref="H88:I88"/>
    <mergeCell ref="J88:K88"/>
    <mergeCell ref="M88:N88"/>
    <mergeCell ref="O88:P88"/>
    <mergeCell ref="C87:D87"/>
    <mergeCell ref="E87:F87"/>
    <mergeCell ref="H87:I87"/>
    <mergeCell ref="J87:K87"/>
    <mergeCell ref="M87:N87"/>
    <mergeCell ref="O87:P87"/>
    <mergeCell ref="C86:D86"/>
    <mergeCell ref="E86:F86"/>
    <mergeCell ref="H86:I86"/>
    <mergeCell ref="J86:K86"/>
    <mergeCell ref="M86:N86"/>
    <mergeCell ref="O86:P86"/>
    <mergeCell ref="C85:D85"/>
    <mergeCell ref="E85:F85"/>
    <mergeCell ref="H85:I85"/>
    <mergeCell ref="J85:K85"/>
    <mergeCell ref="M85:N85"/>
    <mergeCell ref="O85:P85"/>
    <mergeCell ref="C84:D84"/>
    <mergeCell ref="E84:F84"/>
    <mergeCell ref="H84:I84"/>
    <mergeCell ref="J84:K84"/>
    <mergeCell ref="M84:N84"/>
    <mergeCell ref="O84:P84"/>
    <mergeCell ref="C83:D83"/>
    <mergeCell ref="E83:F83"/>
    <mergeCell ref="H83:I83"/>
    <mergeCell ref="J83:K83"/>
    <mergeCell ref="M83:N83"/>
    <mergeCell ref="O83:P83"/>
    <mergeCell ref="C82:D82"/>
    <mergeCell ref="E82:F82"/>
    <mergeCell ref="H82:I82"/>
    <mergeCell ref="J82:K82"/>
    <mergeCell ref="M82:N82"/>
    <mergeCell ref="O82:P82"/>
    <mergeCell ref="C81:D81"/>
    <mergeCell ref="E81:F81"/>
    <mergeCell ref="H81:I81"/>
    <mergeCell ref="J81:K81"/>
    <mergeCell ref="M81:N81"/>
    <mergeCell ref="O81:P81"/>
    <mergeCell ref="C77:D77"/>
    <mergeCell ref="E77:F77"/>
    <mergeCell ref="H77:I77"/>
    <mergeCell ref="J77:K77"/>
    <mergeCell ref="M77:N77"/>
    <mergeCell ref="O77:P77"/>
    <mergeCell ref="O80:P80"/>
    <mergeCell ref="H74:I74"/>
    <mergeCell ref="J74:K74"/>
    <mergeCell ref="M74:N74"/>
    <mergeCell ref="O74:P74"/>
    <mergeCell ref="C73:D73"/>
    <mergeCell ref="E73:F73"/>
    <mergeCell ref="H73:I73"/>
    <mergeCell ref="J73:K73"/>
    <mergeCell ref="M73:N73"/>
    <mergeCell ref="O73:P73"/>
    <mergeCell ref="C72:D72"/>
    <mergeCell ref="E72:F72"/>
    <mergeCell ref="H72:I72"/>
    <mergeCell ref="J72:K72"/>
    <mergeCell ref="M72:N72"/>
    <mergeCell ref="O72:P72"/>
    <mergeCell ref="C71:D71"/>
    <mergeCell ref="E71:F71"/>
    <mergeCell ref="H71:I71"/>
    <mergeCell ref="J71:K71"/>
    <mergeCell ref="M71:N71"/>
    <mergeCell ref="O71:P71"/>
    <mergeCell ref="C70:D70"/>
    <mergeCell ref="E70:F70"/>
    <mergeCell ref="H70:I70"/>
    <mergeCell ref="J70:K70"/>
    <mergeCell ref="M70:N70"/>
    <mergeCell ref="O70:P70"/>
    <mergeCell ref="C69:D69"/>
    <mergeCell ref="E69:F69"/>
    <mergeCell ref="H69:I69"/>
    <mergeCell ref="J69:K69"/>
    <mergeCell ref="M69:N69"/>
    <mergeCell ref="O69:P69"/>
    <mergeCell ref="C68:D68"/>
    <mergeCell ref="E68:F68"/>
    <mergeCell ref="H68:I68"/>
    <mergeCell ref="J68:K68"/>
    <mergeCell ref="M68:N68"/>
    <mergeCell ref="O68:P68"/>
    <mergeCell ref="O49:P49"/>
    <mergeCell ref="E64:N65"/>
    <mergeCell ref="O64:P64"/>
    <mergeCell ref="O65:P65"/>
    <mergeCell ref="C67:F67"/>
    <mergeCell ref="H67:K67"/>
    <mergeCell ref="M67:P67"/>
    <mergeCell ref="C49:D49"/>
    <mergeCell ref="E49:F49"/>
    <mergeCell ref="G49:H49"/>
    <mergeCell ref="I49:J49"/>
    <mergeCell ref="K49:L49"/>
    <mergeCell ref="M49:N49"/>
    <mergeCell ref="O47:P47"/>
    <mergeCell ref="C48:D48"/>
    <mergeCell ref="E48:F48"/>
    <mergeCell ref="G48:H48"/>
    <mergeCell ref="I48:J48"/>
    <mergeCell ref="K48:L48"/>
    <mergeCell ref="M48:N48"/>
    <mergeCell ref="O48:P48"/>
    <mergeCell ref="C47:D47"/>
    <mergeCell ref="E47:F47"/>
    <mergeCell ref="G47:H47"/>
    <mergeCell ref="I47:J47"/>
    <mergeCell ref="K47:L47"/>
    <mergeCell ref="M47:N47"/>
    <mergeCell ref="O45:P45"/>
    <mergeCell ref="C46:D46"/>
    <mergeCell ref="E46:F46"/>
    <mergeCell ref="G46:H46"/>
    <mergeCell ref="I46:J46"/>
    <mergeCell ref="K46:L46"/>
    <mergeCell ref="M46:N46"/>
    <mergeCell ref="O46:P46"/>
    <mergeCell ref="C45:D45"/>
    <mergeCell ref="E45:F45"/>
    <mergeCell ref="G45:H45"/>
    <mergeCell ref="I45:J45"/>
    <mergeCell ref="K45:L45"/>
    <mergeCell ref="M45:N45"/>
    <mergeCell ref="O43:P43"/>
    <mergeCell ref="C44:D44"/>
    <mergeCell ref="E44:F44"/>
    <mergeCell ref="G44:H44"/>
    <mergeCell ref="I44:J44"/>
    <mergeCell ref="K44:L44"/>
    <mergeCell ref="M44:N44"/>
    <mergeCell ref="O44:P44"/>
    <mergeCell ref="C43:D43"/>
    <mergeCell ref="E43:F43"/>
    <mergeCell ref="G43:H43"/>
    <mergeCell ref="I43:J43"/>
    <mergeCell ref="K43:L43"/>
    <mergeCell ref="M43:N43"/>
    <mergeCell ref="O41:P41"/>
    <mergeCell ref="C42:D42"/>
    <mergeCell ref="E42:F42"/>
    <mergeCell ref="G42:H42"/>
    <mergeCell ref="I42:J42"/>
    <mergeCell ref="K42:L42"/>
    <mergeCell ref="M42:N42"/>
    <mergeCell ref="O42:P42"/>
    <mergeCell ref="C41:D41"/>
    <mergeCell ref="E41:F41"/>
    <mergeCell ref="G41:H41"/>
    <mergeCell ref="I41:J41"/>
    <mergeCell ref="K41:L41"/>
    <mergeCell ref="M41:N41"/>
    <mergeCell ref="C38:P39"/>
    <mergeCell ref="H35:I35"/>
    <mergeCell ref="J35:K35"/>
    <mergeCell ref="C36:D36"/>
    <mergeCell ref="E36:F36"/>
    <mergeCell ref="H36:I36"/>
    <mergeCell ref="J36:K36"/>
    <mergeCell ref="H31:K31"/>
    <mergeCell ref="H32:I32"/>
    <mergeCell ref="J32:K32"/>
    <mergeCell ref="H33:I33"/>
    <mergeCell ref="J33:K33"/>
    <mergeCell ref="H34:I34"/>
    <mergeCell ref="J34:K34"/>
    <mergeCell ref="C29:D29"/>
    <mergeCell ref="E29:F29"/>
    <mergeCell ref="H29:I29"/>
    <mergeCell ref="J29:K29"/>
    <mergeCell ref="M29:N29"/>
    <mergeCell ref="O29:P29"/>
    <mergeCell ref="C28:D28"/>
    <mergeCell ref="E28:F28"/>
    <mergeCell ref="H28:I28"/>
    <mergeCell ref="J28:K28"/>
    <mergeCell ref="M28:N28"/>
    <mergeCell ref="O28:P28"/>
    <mergeCell ref="C27:D27"/>
    <mergeCell ref="E27:F27"/>
    <mergeCell ref="H27:I27"/>
    <mergeCell ref="J27:K27"/>
    <mergeCell ref="M27:N27"/>
    <mergeCell ref="O27:P27"/>
    <mergeCell ref="C26:D26"/>
    <mergeCell ref="E26:F26"/>
    <mergeCell ref="H26:I26"/>
    <mergeCell ref="J26:K26"/>
    <mergeCell ref="M26:N26"/>
    <mergeCell ref="O26:P26"/>
    <mergeCell ref="C24:F24"/>
    <mergeCell ref="H24:K24"/>
    <mergeCell ref="M24:P24"/>
    <mergeCell ref="C25:D25"/>
    <mergeCell ref="E25:F25"/>
    <mergeCell ref="H25:I25"/>
    <mergeCell ref="J25:K25"/>
    <mergeCell ref="M25:N25"/>
    <mergeCell ref="O25:P25"/>
    <mergeCell ref="H22:I22"/>
    <mergeCell ref="J22:K22"/>
    <mergeCell ref="M22:N22"/>
    <mergeCell ref="O22:P22"/>
    <mergeCell ref="C21:D21"/>
    <mergeCell ref="E21:F21"/>
    <mergeCell ref="H21:I21"/>
    <mergeCell ref="J21:K21"/>
    <mergeCell ref="M21:N21"/>
    <mergeCell ref="O21:P21"/>
    <mergeCell ref="A17:A36"/>
    <mergeCell ref="C17:F17"/>
    <mergeCell ref="H17:K17"/>
    <mergeCell ref="M17:P17"/>
    <mergeCell ref="C18:D18"/>
    <mergeCell ref="E18:F18"/>
    <mergeCell ref="H18:I18"/>
    <mergeCell ref="J18:K18"/>
    <mergeCell ref="M18:N18"/>
    <mergeCell ref="O18:P18"/>
    <mergeCell ref="C20:D20"/>
    <mergeCell ref="E20:F20"/>
    <mergeCell ref="H20:I20"/>
    <mergeCell ref="J20:K20"/>
    <mergeCell ref="M20:N20"/>
    <mergeCell ref="O20:P20"/>
    <mergeCell ref="C19:D19"/>
    <mergeCell ref="E19:F19"/>
    <mergeCell ref="H19:I19"/>
    <mergeCell ref="J19:K19"/>
    <mergeCell ref="M19:N19"/>
    <mergeCell ref="O19:P19"/>
    <mergeCell ref="C22:D22"/>
    <mergeCell ref="E22:F22"/>
    <mergeCell ref="O5:P5"/>
    <mergeCell ref="R7:T7"/>
    <mergeCell ref="S8:T8"/>
    <mergeCell ref="S9:T9"/>
    <mergeCell ref="E14:N15"/>
    <mergeCell ref="O14:P14"/>
    <mergeCell ref="O15:P15"/>
    <mergeCell ref="C5:D5"/>
    <mergeCell ref="E5:F5"/>
    <mergeCell ref="G5:H5"/>
    <mergeCell ref="I5:J5"/>
    <mergeCell ref="K5:L5"/>
    <mergeCell ref="M5:N5"/>
    <mergeCell ref="O3:P3"/>
    <mergeCell ref="C4:D4"/>
    <mergeCell ref="E4:F4"/>
    <mergeCell ref="G4:H4"/>
    <mergeCell ref="I4:J4"/>
    <mergeCell ref="K4:L4"/>
    <mergeCell ref="M4:N4"/>
    <mergeCell ref="O4:P4"/>
    <mergeCell ref="C3:D3"/>
    <mergeCell ref="E3:F3"/>
    <mergeCell ref="G3:H3"/>
    <mergeCell ref="I3:J3"/>
    <mergeCell ref="K3:L3"/>
    <mergeCell ref="M3:N3"/>
    <mergeCell ref="O1:P1"/>
    <mergeCell ref="C2:D2"/>
    <mergeCell ref="E2:F2"/>
    <mergeCell ref="G2:H2"/>
    <mergeCell ref="I2:J2"/>
    <mergeCell ref="K2:L2"/>
    <mergeCell ref="M2:N2"/>
    <mergeCell ref="O2:P2"/>
    <mergeCell ref="C1:D1"/>
    <mergeCell ref="E1:F1"/>
    <mergeCell ref="G1:H1"/>
    <mergeCell ref="I1:J1"/>
    <mergeCell ref="K1:L1"/>
    <mergeCell ref="M1:N1"/>
  </mergeCells>
  <pageMargins left="0.25" right="0.25" top="0.75" bottom="0.75" header="0.3" footer="0.3"/>
  <ignoredErrors>
    <ignoredError numberStoredAsText="1" sqref="A1:X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9"/>
  <sheetViews>
    <sheetView workbookViewId="0" rightToLeft="0"/>
  </sheetViews>
  <sheetData>
    <row r="2">
      <c r="F2" t="str">
        <v>DRY STOCK BUILD TO GUIDE</v>
      </c>
      <c r="M2" t="str">
        <v>MMX item codes</v>
      </c>
      <c r="P2" t="str">
        <v>ANY YELLOW BOXES NEED TO BE MANUALLY FILLED</v>
      </c>
    </row>
    <row r="3">
      <c r="B3" t="str">
        <v>ORDER FORM CODE</v>
      </c>
    </row>
    <row r="5">
      <c r="E5" t="str">
        <v>PER PACK</v>
      </c>
      <c r="F5" t="str">
        <v>ITEM</v>
      </c>
      <c r="G5" t="str">
        <v>1 DAY USAGE</v>
      </c>
      <c r="H5" t="str">
        <v>ON HAND</v>
      </c>
      <c r="I5" t="str">
        <v>DAYS HOLDING</v>
      </c>
      <c r="J5" t="str">
        <v>ON ORDER</v>
      </c>
      <c r="K5" t="str">
        <v>10 DAY BUILD TO</v>
      </c>
      <c r="L5" t="str">
        <v>NEED</v>
      </c>
      <c r="P5" t="str">
        <v>Enter Number Manually</v>
      </c>
    </row>
    <row r="6">
      <c r="B6">
        <v>100358</v>
      </c>
      <c r="C6" t="str">
        <v>BOX CLAMSHELL MINI</v>
      </c>
      <c r="E6">
        <v>500</v>
      </c>
      <c r="F6" t="str">
        <v>BOX CLAMSHELL MINI</v>
      </c>
      <c r="G6">
        <v>0</v>
      </c>
      <c r="H6">
        <f>VALUE((XLOOKUP("*"&amp;($C6)&amp;"*",'STOCK ON HAND'!$F$1:$F$150,'STOCK ON HAND'!$H$1:$H$150,,2))/$E6)</f>
        <v>0</v>
      </c>
      <c r="I6">
        <f>IF($G6=0,0,($H6*1/$G6))</f>
        <v>0</v>
      </c>
      <c r="J6">
        <f>SUMIFS('STOCK ON ORDER'!$L$1:$L$200,'STOCK ON ORDER'!$H$1:$H$200,VALUE($M6))</f>
        <v>0</v>
      </c>
      <c r="K6">
        <f>G6*10</f>
        <v>0</v>
      </c>
      <c r="L6">
        <f>IF(I6&gt;10,0,IFERROR(MAX(0,K6-H6-J6),0))</f>
        <v>0</v>
      </c>
      <c r="M6">
        <v>100358</v>
      </c>
    </row>
    <row r="7">
      <c r="B7">
        <v>100457</v>
      </c>
      <c r="C7" t="str">
        <v>SAUCE FIRE 10X1KG</v>
      </c>
      <c r="E7">
        <v>10</v>
      </c>
      <c r="F7" t="str">
        <v>FIRE SAUCE</v>
      </c>
      <c r="G7">
        <f>AVERAGE(XLOOKUP($B7,'AC and RGM only'!$K$1:$K$150,'AC and RGM only'!$N$1:$T$150))</f>
        <v>0.06571428571428573</v>
      </c>
      <c r="H7">
        <f>VALUE((XLOOKUP("*"&amp;($C7)&amp;"*",'STOCK ON HAND'!$F$1:$F$150,'STOCK ON HAND'!$H$1:$H$150,,2))/$E7)</f>
        <v>0.33999999999999997</v>
      </c>
      <c r="I7">
        <f>IF($G7=0,0,($H7*1/$G7))</f>
        <v>5.17391304347826</v>
      </c>
      <c r="J7">
        <f>SUMIFS('STOCK ON ORDER'!$L$1:$L$200,'STOCK ON ORDER'!$H$1:$H$200,VALUE($M7))</f>
        <v>1</v>
      </c>
      <c r="K7">
        <f>G7*10</f>
        <v>0.6571428571428573</v>
      </c>
      <c r="L7">
        <f>IF(I7&gt;10,0,IFERROR(MAX(0,K7-H7-J7),0))</f>
        <v>0</v>
      </c>
      <c r="M7">
        <v>100457</v>
      </c>
    </row>
    <row r="8">
      <c r="B8">
        <v>37995</v>
      </c>
      <c r="C8" t="str">
        <v>BAG CHIPS LARGE</v>
      </c>
      <c r="E8">
        <v>3000</v>
      </c>
      <c r="F8" t="str">
        <v>LARGE CHIP BAGS</v>
      </c>
      <c r="G8">
        <f>AVERAGE(XLOOKUP($B8,'AC and RGM only'!$K$1:$K$150,'AC and RGM only'!$N$1:$T$150))</f>
        <v>0.04</v>
      </c>
      <c r="H8">
        <f>VALUE((XLOOKUP("*"&amp;($C8)&amp;"*",'STOCK ON HAND'!$F$1:$F$150,'STOCK ON HAND'!$H$1:$H$150,,2))/$E8)</f>
        <v>2.070333333333333</v>
      </c>
      <c r="I8">
        <f>IF($G8=0,0,($H8*1/$G8))</f>
        <v>51.758333333333326</v>
      </c>
      <c r="J8">
        <f>SUMIFS('STOCK ON ORDER'!$L$1:$L$200,'STOCK ON ORDER'!$H$1:$H$200,$M8)</f>
        <v>0</v>
      </c>
      <c r="K8">
        <f>G8*10</f>
        <v>0.4</v>
      </c>
      <c r="L8">
        <f>IF(I8&gt;10,0,IFERROR(MAX(0,K8-H8-J8),0))</f>
        <v>0</v>
      </c>
      <c r="M8" t="str">
        <v>39944A</v>
      </c>
    </row>
    <row r="9">
      <c r="B9">
        <v>37993</v>
      </c>
      <c r="C9" t="str">
        <v>BAG CHIPS REGULAR</v>
      </c>
      <c r="E9">
        <v>3000</v>
      </c>
      <c r="F9" t="str">
        <v>REGULAR CHIP BAGS</v>
      </c>
      <c r="G9">
        <f>AVERAGE(XLOOKUP($B9,'AC and RGM only'!$K$1:$K$150,'AC and RGM only'!$N$1:$T$150))</f>
        <v>0.05142857142857143</v>
      </c>
      <c r="H9">
        <f>VALUE((XLOOKUP("*"&amp;($C9)&amp;"*",'STOCK ON HAND'!$F$1:$F$150,'STOCK ON HAND'!$H$1:$H$150,,2))/$E9)</f>
        <v>1.394</v>
      </c>
      <c r="I9">
        <f>IF($G9=0,0,($H9*1/$G9))</f>
        <v>27.105555555555554</v>
      </c>
      <c r="J9">
        <f>SUMIFS('STOCK ON ORDER'!$L$1:$L$200,'STOCK ON ORDER'!$H$1:$H$200,$M9)</f>
        <v>0</v>
      </c>
      <c r="K9">
        <f>G9*10</f>
        <v>0.5142857142857142</v>
      </c>
      <c r="L9">
        <f>IF(I9&gt;10,0,IFERROR(MAX(0,K9-H9-J9),0))</f>
        <v>0</v>
      </c>
      <c r="M9" t="str">
        <v>39943A</v>
      </c>
    </row>
    <row r="10">
      <c r="B10">
        <v>37893</v>
      </c>
      <c r="C10" t="str">
        <v>BAG CRUNCHWRAP</v>
      </c>
      <c r="E10">
        <v>2000</v>
      </c>
      <c r="F10" t="str">
        <v>CRUNCHWRAP BAGS</v>
      </c>
      <c r="G10">
        <f>AVERAGE(XLOOKUP($B10,'AC and RGM only'!$K$1:$K$150,'AC and RGM only'!$N$1:$T$150))</f>
        <v>0.055714285714285716</v>
      </c>
      <c r="H10">
        <f>VALUE((XLOOKUP("*"&amp;($C10)&amp;"*",'STOCK ON HAND'!$F$1:$F$150,'STOCK ON HAND'!$H$1:$H$150,,2))/$E10)</f>
        <v>1.1755</v>
      </c>
      <c r="I10">
        <f>IF($G10=0,0,($H10*1/$G10))</f>
        <v>21.098717948717947</v>
      </c>
      <c r="J10">
        <f>SUMIFS('STOCK ON ORDER'!$L$1:$L$200,'STOCK ON ORDER'!$H$1:$H$200,VALUE($M10))</f>
        <v>0</v>
      </c>
      <c r="K10">
        <f>G10*10</f>
        <v>0.5571428571428572</v>
      </c>
      <c r="L10">
        <f>IF(I10&gt;10,0,IFERROR(MAX(0,K10-H10-J10),0))</f>
        <v>0</v>
      </c>
      <c r="M10">
        <v>39942</v>
      </c>
    </row>
    <row r="11">
      <c r="B11">
        <v>37997</v>
      </c>
      <c r="C11" t="str">
        <v>BAG NACHO CHIPS LARGE</v>
      </c>
      <c r="E11">
        <v>2000</v>
      </c>
      <c r="F11" t="str">
        <v>NACHO CHIP BAGS</v>
      </c>
      <c r="G11">
        <f>AVERAGE(XLOOKUP($B11,'AC and RGM only'!$K$1:$K$150,'AC and RGM only'!$N$1:$T$150))</f>
        <v>0.0642857142857143</v>
      </c>
      <c r="H11">
        <f>VALUE((XLOOKUP("*"&amp;($C11)&amp;"*",'STOCK ON HAND'!$F$1:$F$150,'STOCK ON HAND'!$H$1:$H$150,,2))/$E11)</f>
        <v>0.7895</v>
      </c>
      <c r="I11">
        <f>IF($G11=0,0,($H11*1/$G11))</f>
        <v>12.281111111111109</v>
      </c>
      <c r="J11">
        <f>SUMIFS('STOCK ON ORDER'!$L$1:$L$200,'STOCK ON ORDER'!$H$1:$H$200,VALUE($M11))</f>
        <v>0</v>
      </c>
      <c r="K11">
        <f>G11*10</f>
        <v>0.6428571428571429</v>
      </c>
      <c r="L11">
        <f>IF(I11&gt;10,0,IFERROR(MAX(0,K11-H11-J11),0))</f>
        <v>0</v>
      </c>
      <c r="M11">
        <v>39945</v>
      </c>
    </row>
    <row r="12">
      <c r="B12">
        <v>37991</v>
      </c>
      <c r="C12" t="str">
        <v>BAG TAKEAWAY BROWN LARGE 2</v>
      </c>
      <c r="E12">
        <v>250</v>
      </c>
      <c r="F12" t="str">
        <v>LARGE TAKEAWAY BAGS</v>
      </c>
      <c r="G12">
        <f>AVERAGE(XLOOKUP($B12,'AC and RGM only'!$K$1:$K$150,'AC and RGM only'!$N$1:$T$150))</f>
        <v>0.21714285714285714</v>
      </c>
      <c r="H12">
        <f>VALUE((XLOOKUP("*"&amp;($C12)&amp;"*",'STOCK ON HAND'!$F$1:$F$150,'STOCK ON HAND'!$H$1:$H$150,,2))/$E12)</f>
        <v>1.35444</v>
      </c>
      <c r="I12">
        <f>IF($G12=0,0,($H12*1/$G12))</f>
        <v>6.237552631578948</v>
      </c>
      <c r="J12">
        <f>SUMIFS('STOCK ON ORDER'!$L$1:$L$200,'STOCK ON ORDER'!$H$1:$H$200,VALUE($M12))</f>
        <v>2</v>
      </c>
      <c r="K12">
        <f>(G12*10)+1</f>
        <v>3.1714285714285713</v>
      </c>
      <c r="L12">
        <f>IF(I12&gt;10,0,IFERROR(MAX(0,K12-H12-J12),0))</f>
        <v>0</v>
      </c>
      <c r="M12">
        <v>37991</v>
      </c>
    </row>
    <row r="13">
      <c r="B13">
        <v>37989</v>
      </c>
      <c r="C13" t="str">
        <v>BAG TAKEAWAY BROWN MEDIUM</v>
      </c>
      <c r="E13">
        <v>1000</v>
      </c>
      <c r="F13" t="str">
        <v>MEDIUM TAKEAWAY BAGS</v>
      </c>
      <c r="G13">
        <f>AVERAGE(XLOOKUP($B13,'AC and RGM only'!$K$1:$K$150,'AC and RGM only'!$N$1:$T$150))</f>
        <v>0.23714285714285713</v>
      </c>
      <c r="H13">
        <f>VALUE((XLOOKUP("*"&amp;($C13)&amp;"*",'STOCK ON HAND'!$F$1:$F$150,'STOCK ON HAND'!$H$1:$H$150,,2))/$E13)</f>
        <v>1.9393900000000002</v>
      </c>
      <c r="I13">
        <f>IF($G13=0,0,($H13*1/$G13))</f>
        <v>8.178150602409639</v>
      </c>
      <c r="J13">
        <f>SUMIFS('STOCK ON ORDER'!$L$1:$L$200,'STOCK ON ORDER'!$H$1:$H$200,VALUE($M13))</f>
        <v>1</v>
      </c>
      <c r="K13">
        <f>G13*10</f>
        <v>2.3714285714285714</v>
      </c>
      <c r="L13">
        <f>IF(I13&gt;10,0,IFERROR(MAX(0,K13-H13-J13),0))</f>
        <v>0</v>
      </c>
      <c r="M13">
        <v>37989</v>
      </c>
    </row>
    <row r="14">
      <c r="B14">
        <v>37987</v>
      </c>
      <c r="C14" t="str">
        <v>BAG TAKEAWAY BROWN SMALL</v>
      </c>
      <c r="E14">
        <v>1000</v>
      </c>
      <c r="F14" t="str">
        <v>SMALL TAKEAWAY BAGS</v>
      </c>
      <c r="G14">
        <f>AVERAGE(XLOOKUP($B14,'AC and RGM only'!$K$1:$K$150,'AC and RGM only'!$N$1:$T$150))</f>
        <v>0.06142857142857143</v>
      </c>
      <c r="H14">
        <f>VALUE((XLOOKUP("*"&amp;($C14)&amp;"*",'STOCK ON HAND'!$F$1:$F$150,'STOCK ON HAND'!$H$1:$H$150,,2))/$E14)</f>
        <v>-0.96637</v>
      </c>
      <c r="I14">
        <f>IF($G14=0,0,($H14*1/$G14))</f>
        <v>-15.73160465116279</v>
      </c>
      <c r="J14">
        <f>SUMIFS('STOCK ON ORDER'!$L$1:$L$200,'STOCK ON ORDER'!$H$1:$H$200,VALUE($M14))</f>
        <v>0</v>
      </c>
      <c r="K14">
        <f>G14*10</f>
        <v>0.6142857142857143</v>
      </c>
      <c r="L14">
        <f>IF(I14&gt;10,0,IFERROR(MAX(0,K14-H14-J14),0))</f>
        <v>1.5806557142857143</v>
      </c>
      <c r="M14">
        <v>37987</v>
      </c>
    </row>
    <row r="15">
      <c r="B15">
        <v>38892</v>
      </c>
      <c r="C15" t="str">
        <v>BIG BELL BOX 2</v>
      </c>
      <c r="E15">
        <v>250</v>
      </c>
      <c r="F15" t="str">
        <v>BIG BELL BOX</v>
      </c>
      <c r="G15">
        <f>AVERAGE(XLOOKUP($B15,'AC and RGM only'!$K$1:$K$150,'AC and RGM only'!$N$1:$T$150))</f>
        <v>0.19142857142857142</v>
      </c>
      <c r="H15">
        <f>VALUE((XLOOKUP("*"&amp;($C15)&amp;"*",'STOCK ON HAND'!$F$1:$F$150,'STOCK ON HAND'!$H$1:$H$150,,2))/$E15)</f>
        <v>0.642</v>
      </c>
      <c r="I15">
        <f>IF($G15=0,0,($H15*1/$G15))</f>
        <v>3.3537313432835822</v>
      </c>
      <c r="J15">
        <f>SUMIFS('STOCK ON ORDER'!$L$1:$L$200,'STOCK ON ORDER'!$H$1:$H$200,VALUE($M15))</f>
        <v>2</v>
      </c>
      <c r="K15">
        <f>G15*10</f>
        <v>1.9142857142857141</v>
      </c>
      <c r="L15">
        <f>IF(I15&gt;10,0,IFERROR(MAX(0,K15-H15-J15),0))</f>
        <v>0</v>
      </c>
      <c r="M15">
        <v>38892</v>
      </c>
    </row>
    <row r="16">
      <c r="B16">
        <v>37872</v>
      </c>
      <c r="C16" t="str">
        <v>CANTINA BROWN BOX</v>
      </c>
      <c r="E16">
        <v>200</v>
      </c>
      <c r="F16" t="str">
        <v>CANTINA BOX</v>
      </c>
      <c r="G16">
        <f>AVERAGE(XLOOKUP($B16,'AC and RGM only'!$K$1:$K$150,'AC and RGM only'!$N$1:$T$150))</f>
        <v>0.18571428571428572</v>
      </c>
      <c r="H16">
        <f>VALUE((XLOOKUP("*"&amp;($C16)&amp;"*",'STOCK ON HAND'!$F$1:$F$150,'STOCK ON HAND'!$H$1:$H$150,,2))/$E16)</f>
        <v>1.685</v>
      </c>
      <c r="I16">
        <f>IF($G16=0,0,($H16*1/$G16))</f>
        <v>9.073076923076924</v>
      </c>
      <c r="J16">
        <f>SUMIFS('STOCK ON ORDER'!$L$1:$L$200,'STOCK ON ORDER'!$H$1:$H$200,VALUE($M16))</f>
        <v>2</v>
      </c>
      <c r="K16">
        <f>(G16*10)+1</f>
        <v>2.857142857142857</v>
      </c>
      <c r="L16">
        <f>IF(I16&gt;10,0,IFERROR(MAX(0,K16-H16-J16),0))</f>
        <v>0</v>
      </c>
      <c r="M16">
        <v>40014</v>
      </c>
    </row>
    <row r="17">
      <c r="B17">
        <v>38352</v>
      </c>
      <c r="C17" t="str">
        <v>CINNAMON TWISTS</v>
      </c>
      <c r="E17">
        <v>10</v>
      </c>
      <c r="F17" t="str">
        <v>CINNAMON TWISTS</v>
      </c>
      <c r="G17">
        <f>AVERAGE(XLOOKUP($B17,'AC and RGM only'!$K$1:$K$150,'AC and RGM only'!$N$1:$T$150))</f>
        <v>0.017142857142857144</v>
      </c>
      <c r="H17">
        <f>VALUE((XLOOKUP("*"&amp;($C17)&amp;"*",'STOCK ON HAND'!$F$1:$F$150,'STOCK ON HAND'!$H$1:$H$150,,2))/$E17)</f>
        <v>1.83</v>
      </c>
      <c r="I17">
        <f>IF($G17=0,0,($H17*1/$G17))</f>
        <v>106.75</v>
      </c>
      <c r="J17">
        <f>SUMIFS('STOCK ON ORDER'!$L$1:$L$200,'STOCK ON ORDER'!$H$1:$H$200,$M17)</f>
        <v>0</v>
      </c>
      <c r="K17">
        <f>G17*10</f>
        <v>0.17142857142857143</v>
      </c>
      <c r="L17">
        <f>IF(I17&gt;10,0,IFERROR(MAX(0,K17-H17-J17),0))</f>
        <v>0</v>
      </c>
      <c r="M17" t="str">
        <v>40062A</v>
      </c>
    </row>
    <row r="18">
      <c r="B18">
        <v>37378</v>
      </c>
      <c r="C18" t="str">
        <v>CUP FCB 590 ML CH</v>
      </c>
      <c r="E18">
        <v>1000</v>
      </c>
      <c r="F18" t="str">
        <v>FROZEN CUPS</v>
      </c>
      <c r="G18">
        <f>AVERAGE(XLOOKUP($B18,'AC and RGM only'!$K$1:$K$150,'AC and RGM only'!$N$1:$T$150))</f>
        <v>0.011428571428571429</v>
      </c>
      <c r="H18">
        <f>VALUE((XLOOKUP("*"&amp;($C18)&amp;"*",'STOCK ON HAND'!$F$1:$F$150,'STOCK ON HAND'!$H$1:$H$150,,2))/$E18)</f>
        <v>0.323</v>
      </c>
      <c r="I18">
        <f>IF($G18=0,0,($H18*1/$G18))</f>
        <v>28.2625</v>
      </c>
      <c r="J18">
        <f>SUMIFS('STOCK ON ORDER'!$L$1:$L$200,'STOCK ON ORDER'!$H$1:$H$200,VALUE($M18))</f>
        <v>0</v>
      </c>
      <c r="K18">
        <f>G18*10</f>
        <v>0.11428571428571428</v>
      </c>
      <c r="L18">
        <f>IF(I18&gt;10,0,IFERROR(MAX(0,K18-H18-J18),0))</f>
        <v>0</v>
      </c>
      <c r="M18">
        <v>507876</v>
      </c>
    </row>
    <row r="19">
      <c r="B19">
        <v>37856</v>
      </c>
      <c r="C19" t="str">
        <v>CUP POSTMIX LARGE</v>
      </c>
      <c r="E19">
        <v>1000</v>
      </c>
      <c r="F19" t="str">
        <v>LARGE CUPS</v>
      </c>
      <c r="G19">
        <f>AVERAGE(XLOOKUP($B19,'AC and RGM only'!$K$1:$K$150,'AC and RGM only'!$N$1:$T$150))</f>
        <v>0.0642857142857143</v>
      </c>
      <c r="H19">
        <f>VALUE((XLOOKUP("*"&amp;($C19)&amp;"*",'STOCK ON HAND'!$F$1:$F$150,'STOCK ON HAND'!$H$1:$H$150,,2))/$E19)</f>
        <v>0.808</v>
      </c>
      <c r="I19">
        <f>IF($G19=0,0,($H19*1/$G19))</f>
        <v>12.568888888888889</v>
      </c>
      <c r="J19">
        <f>SUMIFS('STOCK ON ORDER'!$L$1:$L$200,'STOCK ON ORDER'!$H$1:$H$200,VALUE($M19))</f>
        <v>1</v>
      </c>
      <c r="K19">
        <f>G19*10</f>
        <v>0.6428571428571429</v>
      </c>
      <c r="L19">
        <f>IF(I19&gt;10,0,IFERROR(MAX(0,K19-H19-J19),0))</f>
        <v>0</v>
      </c>
      <c r="M19">
        <v>38891</v>
      </c>
    </row>
    <row r="20">
      <c r="B20">
        <v>37854</v>
      </c>
      <c r="C20" t="str">
        <v>CUP POSTMIX REGULAR</v>
      </c>
      <c r="E20">
        <v>1000</v>
      </c>
      <c r="F20" t="str">
        <v>REGULAR CUPS</v>
      </c>
      <c r="G20">
        <f>AVERAGE(XLOOKUP($B20,'AC and RGM only'!$K$1:$K$150,'AC and RGM only'!$N$1:$T$150))</f>
        <v>0.11714285714285713</v>
      </c>
      <c r="H20">
        <f>VALUE((XLOOKUP("*"&amp;($C20)&amp;"*",'STOCK ON HAND'!$F$1:$F$150,'STOCK ON HAND'!$H$1:$H$150,,2))/$E20)</f>
        <v>0.384</v>
      </c>
      <c r="I20">
        <f>IF($G20=0,0,($H20*1/$G20))</f>
        <v>3.278048780487805</v>
      </c>
      <c r="J20">
        <f>SUMIFS('STOCK ON ORDER'!$L$1:$L$200,'STOCK ON ORDER'!$H$1:$H$200,VALUE($M20))</f>
        <v>2</v>
      </c>
      <c r="K20">
        <f>G20*10</f>
        <v>1.1714285714285713</v>
      </c>
      <c r="L20">
        <f>IF(I20&gt;10,0,IFERROR(MAX(0,K20-H20-J20),0))</f>
        <v>0</v>
      </c>
      <c r="M20">
        <v>38890</v>
      </c>
    </row>
    <row r="21">
      <c r="B21">
        <v>11172</v>
      </c>
      <c r="C21" t="str">
        <v>DESSERT CHOCETTES</v>
      </c>
      <c r="E21">
        <v>5</v>
      </c>
      <c r="F21" t="str">
        <v>CHOC CHIPS</v>
      </c>
      <c r="G21">
        <f>AVERAGE(XLOOKUP($B21,'AC and RGM only'!$K$1:$K$150,'AC and RGM only'!$N$1:$T$150))</f>
        <v>0.06999999999999999</v>
      </c>
      <c r="H21">
        <f>VALUE((XLOOKUP("*"&amp;($C21)&amp;"*",'STOCK ON HAND'!$F$1:$F$150,'STOCK ON HAND'!$H$1:$H$150,,2))/$E21)</f>
        <v>0.738</v>
      </c>
      <c r="I21">
        <f>IF($G21=0,0,($H21*1/$G21))</f>
        <v>10.542857142857144</v>
      </c>
      <c r="J21">
        <f>SUMIFS('STOCK ON ORDER'!$L$1:$L$200,'STOCK ON ORDER'!$H$1:$H$200,VALUE($M21))</f>
        <v>0</v>
      </c>
      <c r="K21">
        <f>G21*10</f>
        <v>0.7</v>
      </c>
      <c r="L21">
        <f>IF(I21&gt;10,0,IFERROR(MAX(0,K21-H21-J21),0))</f>
        <v>0</v>
      </c>
      <c r="M21">
        <v>38088</v>
      </c>
    </row>
    <row r="22">
      <c r="B22">
        <v>20295</v>
      </c>
      <c r="C22" t="str">
        <v>JALAPENO</v>
      </c>
      <c r="E22">
        <f>6*2.3</f>
        <v>13.799999999999999</v>
      </c>
      <c r="F22" t="str">
        <v>JALAPENOS</v>
      </c>
      <c r="G22">
        <f>AVERAGE(XLOOKUP($B22,'AC and RGM only'!$K$1:$K$150,'AC and RGM only'!$N$1:$T$150))</f>
        <v>0.0071428571428571435</v>
      </c>
      <c r="H22">
        <f>VALUE((XLOOKUP("*"&amp;($C22)&amp;"*",'STOCK ON HAND'!$F$1:$F$150,'STOCK ON HAND'!$H$1:$H$150,,2))/$E22)</f>
        <v>1.1789855072463769</v>
      </c>
      <c r="I22">
        <f>IF($G22=0,0,($H22*1/$G22))</f>
        <v>165.05797101449275</v>
      </c>
      <c r="J22">
        <f>SUMIFS('STOCK ON ORDER'!$L$1:$L$200,'STOCK ON ORDER'!$H$1:$H$200,VALUE($M22))</f>
        <v>0</v>
      </c>
      <c r="K22">
        <f>G22*10</f>
        <v>0.07142857142857144</v>
      </c>
      <c r="L22">
        <f>IF(I22&gt;10,0,IFERROR(MAX(0,K22-H22-J22),0))</f>
        <v>0</v>
      </c>
      <c r="M22">
        <v>40003</v>
      </c>
    </row>
    <row r="23">
      <c r="B23">
        <v>13735</v>
      </c>
      <c r="C23" t="str">
        <v>LID POSTMIX</v>
      </c>
      <c r="E23">
        <v>1000</v>
      </c>
      <c r="F23" t="str">
        <v>LIDS POSTMIX</v>
      </c>
      <c r="G23">
        <f>AVERAGE(XLOOKUP($B23,'AC and RGM only'!$K$1:$K$150,'AC and RGM only'!$N$1:$T$150))</f>
        <v>0.17857142857142858</v>
      </c>
      <c r="H23">
        <f>VALUE((XLOOKUP("*"&amp;($C23)&amp;"*",'STOCK ON HAND'!$F$1:$F$150,'STOCK ON HAND'!$H$1:$H$150,,2))/$E23)</f>
        <v>1.594</v>
      </c>
      <c r="I23">
        <f>IF($G23=0,0,($H23*1/$G23))</f>
        <v>8.926400000000001</v>
      </c>
      <c r="J23">
        <f>SUMIFS('STOCK ON ORDER'!$L$1:$L$200,'STOCK ON ORDER'!$H$1:$H$200,VALUE($M23))</f>
        <v>1</v>
      </c>
      <c r="K23">
        <f>G23*10</f>
        <v>1.7857142857142858</v>
      </c>
      <c r="L23">
        <f>IF(I23&gt;10,0,IFERROR(MAX(0,K23-H23-J23),0))</f>
        <v>0</v>
      </c>
      <c r="M23">
        <v>38894</v>
      </c>
    </row>
    <row r="24">
      <c r="B24">
        <v>37380</v>
      </c>
      <c r="C24" t="str">
        <v>LID FCB DOME 590 ML CH</v>
      </c>
      <c r="E24">
        <v>1000</v>
      </c>
      <c r="F24" t="str">
        <v>LIDS FROZEN</v>
      </c>
      <c r="G24">
        <f>AVERAGE(XLOOKUP($B24,'AC and RGM only'!$K$1:$K$150,'AC and RGM only'!$N$1:$T$150))</f>
        <v>0.011428571428571429</v>
      </c>
      <c r="H24">
        <f>VALUE((XLOOKUP("*"&amp;($C24)&amp;"*",'STOCK ON HAND'!$F$1:$F$150,'STOCK ON HAND'!$H$1:$H$150,,2))/$E24)</f>
        <v>1.01</v>
      </c>
      <c r="I24">
        <f>IF($G24=0,0,($H24*1/$G24))</f>
        <v>88.375</v>
      </c>
      <c r="J24">
        <f>SUMIFS('STOCK ON ORDER'!$L$1:$L$200,'STOCK ON ORDER'!$H$1:$H$200,VALUE($M24))</f>
        <v>0</v>
      </c>
      <c r="K24">
        <f>G24*10</f>
        <v>0.11428571428571428</v>
      </c>
      <c r="L24">
        <f>IF(I24&gt;10,0,IFERROR(MAX(0,K24-H24-J24),0))</f>
        <v>0</v>
      </c>
      <c r="M24">
        <v>507877</v>
      </c>
    </row>
    <row r="25">
      <c r="B25">
        <v>36549</v>
      </c>
      <c r="C25" t="str">
        <v>NAPKINS BROWN RECYCLE</v>
      </c>
      <c r="E25">
        <v>6000</v>
      </c>
      <c r="F25" t="str">
        <v>NAPKINS</v>
      </c>
      <c r="G25">
        <f>AVERAGE(XLOOKUP($B25,'AC and RGM only'!$K$1:$K$150,'AC and RGM only'!$N$1:$T$150))</f>
        <v>0.12142857142857143</v>
      </c>
      <c r="H25">
        <f>VALUE((XLOOKUP("*"&amp;($C25)&amp;"*",'STOCK ON HAND'!$F$1:$F$150,'STOCK ON HAND'!$H$1:$H$150,,2))/$E25)</f>
        <v>1.838</v>
      </c>
      <c r="I25">
        <f>IF($G25=0,0,($H25*1/$G25))</f>
        <v>15.136470588235294</v>
      </c>
      <c r="J25">
        <f>SUMIFS('STOCK ON ORDER'!$L$1:$L$200,'STOCK ON ORDER'!$H$1:$H$200,VALUE($M25))</f>
        <v>0</v>
      </c>
      <c r="K25">
        <f>G25*10</f>
        <v>1.2142857142857142</v>
      </c>
      <c r="L25">
        <f>IF(I25&gt;10,0,IFERROR(MAX(0,K25-H25-J25),0))</f>
        <v>0</v>
      </c>
      <c r="M25">
        <v>38050</v>
      </c>
    </row>
    <row r="26">
      <c r="B26">
        <v>37915</v>
      </c>
      <c r="C26" t="str">
        <v>RICE LONG GRAIN WHITE</v>
      </c>
      <c r="E26">
        <v>10</v>
      </c>
      <c r="F26" t="str">
        <v>RICE</v>
      </c>
      <c r="G26">
        <f>AVERAGE(XLOOKUP($B26,'AC and RGM only'!$K$1:$K$150,'AC and RGM only'!$N$1:$T$150))</f>
        <v>0.3671428571428571</v>
      </c>
      <c r="H26">
        <f>VALUE((XLOOKUP("*"&amp;($C26)&amp;"*",'STOCK ON HAND'!$F$1:$F$150,'STOCK ON HAND'!$H$1:$H$150,,2))/$E26)</f>
        <v>1.8</v>
      </c>
      <c r="I26">
        <f>IF($G26=0,0,($H26*1/$G26))</f>
        <v>4.902723735408561</v>
      </c>
      <c r="J26">
        <f>SUMIFS('STOCK ON ORDER'!$L$1:$L$200,'STOCK ON ORDER'!$H$1:$H$200,$M26)</f>
        <v>4</v>
      </c>
      <c r="K26">
        <f>SUM(G26*10)+2</f>
        <v>5.671428571428571</v>
      </c>
      <c r="L26">
        <f>IF(I26&gt;20,0,IFERROR(MAX(0,K26-H26-J26),0))</f>
        <v>0</v>
      </c>
      <c r="M26" t="str">
        <v>37915A</v>
      </c>
    </row>
    <row r="27">
      <c r="B27">
        <v>37870</v>
      </c>
      <c r="C27" t="str">
        <v>SAUCE CHILLI MILD</v>
      </c>
      <c r="E27">
        <v>10</v>
      </c>
      <c r="F27" t="str">
        <v>MILD SAUCE</v>
      </c>
      <c r="G27">
        <f>AVERAGE(XLOOKUP($B27,'AC and RGM only'!$K$1:$K$150,'AC and RGM only'!$N$1:$T$150))</f>
        <v>0.2285714285714286</v>
      </c>
      <c r="H27">
        <f>VALUE((XLOOKUP("*"&amp;($C27)&amp;"*",'STOCK ON HAND'!$F$1:$F$150,'STOCK ON HAND'!$H$1:$H$150,,2))/$E27)</f>
        <v>2.169</v>
      </c>
      <c r="I27">
        <f>IF($G27=0,0,($H27*1/$G27))</f>
        <v>9.489374999999999</v>
      </c>
      <c r="J27">
        <f>SUMIFS('STOCK ON ORDER'!$L$1:$L$200,'STOCK ON ORDER'!$H$1:$H$200,VALUE($M27))</f>
        <v>1</v>
      </c>
      <c r="K27">
        <f>G27*10</f>
        <v>2.285714285714286</v>
      </c>
      <c r="L27">
        <f>IF(I27&gt;10,0,IFERROR(MAX(0,K27-H27-J27),0))</f>
        <v>0</v>
      </c>
      <c r="M27">
        <v>37870</v>
      </c>
    </row>
    <row r="28">
      <c r="B28">
        <v>37883</v>
      </c>
      <c r="C28" t="str">
        <v>SAUCE CHOCOLATE DA VINCI</v>
      </c>
      <c r="E28">
        <v>6</v>
      </c>
      <c r="F28" t="str">
        <v>CHOC SAUCE</v>
      </c>
      <c r="G28">
        <f>AVERAGE(XLOOKUP($B28,'AC and RGM only'!$K$1:$K$150,'AC and RGM only'!$N$1:$T$150))</f>
        <v>0.06285714285714286</v>
      </c>
      <c r="H28">
        <f>VALUE((XLOOKUP("*"&amp;($C28)&amp;"*",'STOCK ON HAND'!$F$1:$F$150,'STOCK ON HAND'!$H$1:$H$150,,2))/$E28)</f>
        <v>0.30833333333333335</v>
      </c>
      <c r="I28">
        <f>IF($G28=0,0,($H28*1/$G28))</f>
        <v>4.90530303030303</v>
      </c>
      <c r="J28">
        <f>SUMIFS('STOCK ON ORDER'!$L$1:$L$200,'STOCK ON ORDER'!$H$1:$H$200,VALUE($M28))</f>
        <v>1</v>
      </c>
      <c r="K28">
        <f>G28*10</f>
        <v>0.6285714285714286</v>
      </c>
      <c r="L28">
        <f>IF(I28&gt;10,0,IFERROR(MAX(0,K28-H28-J28),0))</f>
        <v>0</v>
      </c>
      <c r="M28">
        <v>38163</v>
      </c>
    </row>
    <row r="29">
      <c r="B29">
        <v>37883</v>
      </c>
      <c r="C29" t="str">
        <v>SAUCE CHOCOLATE DA VINCI</v>
      </c>
      <c r="E29">
        <v>6</v>
      </c>
      <c r="F29" t="str">
        <v>CHOC SAUCE</v>
      </c>
      <c r="G29">
        <f>AVERAGE(XLOOKUP($B29,'AC and RGM only'!$K$1:$K$150,'AC and RGM only'!$N$1:$T$150))</f>
        <v>0.06285714285714286</v>
      </c>
      <c r="H29">
        <f>VALUE((XLOOKUP("*"&amp;($C29)&amp;"*",'STOCK ON HAND'!$F$1:$F$150,'STOCK ON HAND'!$H$1:$H$150,,2))/$E29)</f>
        <v>0.30833333333333335</v>
      </c>
      <c r="I29">
        <f>IF($G29=0,0,($H29*1/$G29))</f>
        <v>4.90530303030303</v>
      </c>
      <c r="J29">
        <f>SUMIFS('STOCK ON ORDER'!$L$1:$L$200,'STOCK ON ORDER'!$H$1:$H$200,$M29)</f>
        <v>0</v>
      </c>
      <c r="K29">
        <f>G29*10</f>
        <v>0.6285714285714286</v>
      </c>
      <c r="L29">
        <f>IF(I29&gt;10,0,IFERROR(MAX(0,K29-H29-J29),0))</f>
        <v>0.3202380952380952</v>
      </c>
      <c r="M29" t="str">
        <v>38163A</v>
      </c>
    </row>
    <row r="30">
      <c r="B30">
        <v>37907</v>
      </c>
      <c r="C30" t="str">
        <v>SEASONING MEXICAN RICE</v>
      </c>
      <c r="E30">
        <v>10</v>
      </c>
      <c r="F30" t="str">
        <v>MEX SEASONING</v>
      </c>
      <c r="G30">
        <f>AVERAGE(XLOOKUP($B30,'AC and RGM only'!$K$1:$K$150,'AC and RGM only'!$N$1:$T$150))</f>
        <v>0.11714285714285713</v>
      </c>
      <c r="H30">
        <f>VALUE((XLOOKUP("*"&amp;($C30)&amp;"*",'STOCK ON HAND'!$F$1:$F$150,'STOCK ON HAND'!$H$1:$H$150,,2))/$E30)</f>
        <v>0.9349999999999999</v>
      </c>
      <c r="I30">
        <f>IF($G30=0,0,($H30*1/$G30))</f>
        <v>7.981707317073171</v>
      </c>
      <c r="J30">
        <f>SUMIFS('STOCK ON ORDER'!$L$1:$L$200,'STOCK ON ORDER'!$H$1:$H$200,VALUE($M30))</f>
        <v>2</v>
      </c>
      <c r="K30">
        <f>SUM(G30*10)+1</f>
        <v>2.1714285714285713</v>
      </c>
      <c r="L30">
        <f>IF(I30&gt;20,0,IFERROR(MAX(0,K30-H30-J30),0))</f>
        <v>0</v>
      </c>
      <c r="M30">
        <v>39054</v>
      </c>
    </row>
    <row r="31">
      <c r="B31">
        <v>39185</v>
      </c>
      <c r="C31" t="str">
        <v>STRAW PAPER KFC</v>
      </c>
      <c r="E31">
        <v>4000</v>
      </c>
      <c r="F31" t="str">
        <v>STRAWS</v>
      </c>
      <c r="G31">
        <f>AVERAGE(XLOOKUP($B31,'AC and RGM only'!$K$1:$K$150,'AC and RGM only'!$N$1:$T$150))</f>
        <v>0.04571428571428572</v>
      </c>
      <c r="H31">
        <f>VALUE((XLOOKUP("*"&amp;($C31)&amp;"*",'STOCK ON HAND'!$F$1:$F$150,'STOCK ON HAND'!$H$1:$H$150,,2))/$E31)</f>
        <v>0.974</v>
      </c>
      <c r="I31">
        <f>IF($G31=0,0,($H31*1/$G31))</f>
        <v>21.306249999999995</v>
      </c>
      <c r="J31">
        <f>SUMIFS('STOCK ON ORDER'!$L$1:$L$200,'STOCK ON ORDER'!$H$1:$H$200,VALUE($M31))</f>
        <v>0</v>
      </c>
      <c r="K31">
        <f>G31*10</f>
        <v>0.4571428571428572</v>
      </c>
      <c r="L31">
        <f>IF(I31&gt;10,0,IFERROR(MAX(0,K31-H31-J31),0))</f>
        <v>0</v>
      </c>
      <c r="M31">
        <v>507516</v>
      </c>
    </row>
    <row r="32">
      <c r="B32">
        <v>34210</v>
      </c>
      <c r="C32" t="str">
        <v>SUGAR CINNAMON 5KG</v>
      </c>
      <c r="E32">
        <f>5*2.5</f>
        <v>12.5</v>
      </c>
      <c r="F32" t="str">
        <v>CINNAMON SUGAR</v>
      </c>
      <c r="G32">
        <f>AVERAGE(XLOOKUP($B32,'AC and RGM only'!$K$1:$K$150,'AC and RGM only'!$N$1:$T$150))</f>
        <v>0.011428571428571427</v>
      </c>
      <c r="H32">
        <f>VALUE((XLOOKUP("*"&amp;($C32)&amp;"*",'STOCK ON HAND'!$F$1:$F$150,'STOCK ON HAND'!$H$1:$H$150,,2))/$E32)</f>
        <v>0.612</v>
      </c>
      <c r="I32">
        <f>IF($G32=0,0,($H32*1/$G32))</f>
        <v>53.550000000000004</v>
      </c>
      <c r="J32">
        <f>SUMIFS('STOCK ON ORDER'!$L$1:$L$200,'STOCK ON ORDER'!$H$1:$H$200,VALUE($M32))</f>
        <v>0</v>
      </c>
      <c r="K32">
        <f>G32*10</f>
        <v>0.11428571428571427</v>
      </c>
      <c r="L32">
        <f>IF(I32&gt;10,0,IFERROR(MAX(0,K32-H32-J32),0))</f>
        <v>0</v>
      </c>
      <c r="M32">
        <v>40037</v>
      </c>
    </row>
    <row r="33">
      <c r="B33">
        <v>39744</v>
      </c>
      <c r="C33" t="str">
        <v>DIPPING CUP 60ML</v>
      </c>
      <c r="E33">
        <v>1000</v>
      </c>
      <c r="F33" t="str">
        <v>DIPPING CUPS</v>
      </c>
      <c r="G33">
        <f>AVERAGE(XLOOKUP($B33,'AC and RGM only'!$K$1:$K$150,'AC and RGM only'!$N$1:$T$150))</f>
        <v>0.16142857142857145</v>
      </c>
      <c r="H33">
        <f>VALUE((XLOOKUP("*"&amp;($C33)&amp;"*",'STOCK ON HAND'!$F$1:$F$150,'STOCK ON HAND'!$H$1:$H$150,,2))/$E33)</f>
        <v>0.905</v>
      </c>
      <c r="I33">
        <f>IF($G33=0,0,($H33*1/$G33))</f>
        <v>5.606194690265486</v>
      </c>
      <c r="J33">
        <f>SUMIFS('STOCK ON ORDER'!$L$1:$L$200,'STOCK ON ORDER'!$H$1:$H$200,VALUE($M33))</f>
        <v>1</v>
      </c>
      <c r="K33">
        <f>G33*10</f>
        <v>1.6142857142857145</v>
      </c>
      <c r="L33">
        <f>IF(I33&gt;10,0,IFERROR(MAX(0,K33-H33-J33),0))</f>
        <v>0</v>
      </c>
      <c r="M33">
        <v>39744</v>
      </c>
    </row>
    <row r="34">
      <c r="B34">
        <v>39746</v>
      </c>
      <c r="C34" t="str">
        <v>LID CLEAR 60ML DIPPING CUP</v>
      </c>
      <c r="E34">
        <v>1000</v>
      </c>
      <c r="F34" t="str">
        <v>DIPPING CUP LIDS</v>
      </c>
      <c r="G34">
        <f>AVERAGE(XLOOKUP($B34,'AC and RGM only'!$K$1:$K$150,'AC and RGM only'!$N$1:$T$150))</f>
        <v>0.16142857142857145</v>
      </c>
      <c r="H34">
        <f>VALUE((XLOOKUP("*"&amp;($C34)&amp;"*",'STOCK ON HAND'!$F$1:$F$150,'STOCK ON HAND'!$H$1:$H$150,,2))/$E34)</f>
        <v>1.155</v>
      </c>
      <c r="I34">
        <f>IF($G34=0,0,($H34*1/$G34))</f>
        <v>7.154867256637168</v>
      </c>
      <c r="J34">
        <f>SUMIFS('STOCK ON ORDER'!$L$1:$L$200,'STOCK ON ORDER'!$H$1:$H$200,VALUE($M34))</f>
        <v>1</v>
      </c>
      <c r="K34">
        <f>G34*10</f>
        <v>1.6142857142857145</v>
      </c>
      <c r="L34">
        <f>IF(I34&gt;10,0,IFERROR(MAX(0,K34-H34-J34),0))</f>
        <v>0</v>
      </c>
      <c r="M34">
        <v>39746</v>
      </c>
    </row>
    <row r="35">
      <c r="B35">
        <v>39769</v>
      </c>
      <c r="C35" t="str">
        <v>WOODEN FORK</v>
      </c>
      <c r="E35">
        <v>1000</v>
      </c>
      <c r="F35" t="str">
        <v>FORKS</v>
      </c>
      <c r="G35">
        <f>AVERAGE(XLOOKUP($B35,'AC and RGM only'!$K$1:$K$150,'AC and RGM only'!$N$1:$T$150))</f>
        <v>0.03571428571428571</v>
      </c>
      <c r="H35">
        <f>VALUE((XLOOKUP("*"&amp;($C35)&amp;"*",'STOCK ON HAND'!$F$1:$F$150,'STOCK ON HAND'!$H$1:$H$150,,2))/$E35)</f>
        <v>-0.017</v>
      </c>
      <c r="I35">
        <f>IF($G35=0,0,($H35*1/$G35))</f>
        <v>-0.47600000000000003</v>
      </c>
      <c r="J35">
        <f>SUMIFS('STOCK ON ORDER'!$L$1:$L$200,'STOCK ON ORDER'!$H$1:$H$200,VALUE($M35))</f>
        <v>1</v>
      </c>
      <c r="K35">
        <f>G35*10</f>
        <v>0.3571428571428571</v>
      </c>
      <c r="L35">
        <f>IF(I35&gt;10,0,IFERROR(MAX(0,K35-H35-J35),0))</f>
        <v>0</v>
      </c>
      <c r="M35">
        <v>39748</v>
      </c>
    </row>
    <row r="36">
      <c r="B36">
        <v>13529</v>
      </c>
      <c r="C36" t="str">
        <v>TRAYS DRINKS 4 CUP</v>
      </c>
      <c r="E36">
        <v>100</v>
      </c>
      <c r="F36" t="str">
        <v>DRINK TRAYS</v>
      </c>
      <c r="G36">
        <f>AVERAGE(XLOOKUP($B36,'AC and RGM only'!$K$1:$K$150,'AC and RGM only'!$N$1:$T$150))</f>
        <v>0.12714285714285714</v>
      </c>
      <c r="H36">
        <f>VALUE((XLOOKUP("*"&amp;($C36)&amp;"*",'STOCK ON HAND'!$F$1:$F$150,'STOCK ON HAND'!$H$1:$H$150,,2))/$E36)</f>
        <v>0.105</v>
      </c>
      <c r="I36">
        <f>IF($G36=0,0,($H36*1/$G36))</f>
        <v>0.8258426966292135</v>
      </c>
      <c r="J36">
        <f>SUMIFS('STOCK ON ORDER'!$L$1:$L$200,'STOCK ON ORDER'!$H$1:$H$200,VALUE($M36))</f>
        <v>0</v>
      </c>
      <c r="K36">
        <f>G36*10</f>
        <v>1.2714285714285714</v>
      </c>
      <c r="L36">
        <f>IF(I36&gt;10,0,IFERROR(MAX(0,K36-H36-J36),0))</f>
        <v>1.1664285714285714</v>
      </c>
      <c r="M36">
        <v>505798</v>
      </c>
    </row>
    <row r="37">
      <c r="B37">
        <v>37901</v>
      </c>
      <c r="C37" t="str">
        <v>WRAP LARGE WHITE PRINTED</v>
      </c>
      <c r="E37">
        <v>3000</v>
      </c>
      <c r="F37" t="str">
        <v>LARGE WRAPS</v>
      </c>
      <c r="G37">
        <f>AVERAGE(XLOOKUP($B37,'AC and RGM only'!$K$1:$K$150,'AC and RGM only'!$N$1:$T$150))</f>
        <v>0.09714285714285713</v>
      </c>
      <c r="H37">
        <f>VALUE((XLOOKUP("*"&amp;($C37)&amp;"*",'STOCK ON HAND'!$F$1:$F$150,'STOCK ON HAND'!$H$1:$H$150,,2))/$E37)</f>
        <v>0.7656666666666667</v>
      </c>
      <c r="I37">
        <f>IF($G37=0,0,($H37*1/$G37))</f>
        <v>7.881862745098041</v>
      </c>
      <c r="J37">
        <f>SUMIFS('STOCK ON ORDER'!$L$1:$L$200,'STOCK ON ORDER'!$H$1:$H$200,VALUE($M37))</f>
        <v>1</v>
      </c>
      <c r="K37">
        <f>G37*10</f>
        <v>0.9714285714285713</v>
      </c>
      <c r="L37">
        <f>IF(I37&gt;10,0,IFERROR(MAX(0,K37-H37-J37),0))</f>
        <v>0</v>
      </c>
      <c r="M37">
        <v>37901</v>
      </c>
    </row>
    <row r="38">
      <c r="B38">
        <v>37921</v>
      </c>
      <c r="C38" t="str">
        <v>WRAP SMALL WHITE PRINTED</v>
      </c>
      <c r="E38">
        <v>3000</v>
      </c>
      <c r="F38" t="str">
        <v>SMALL WRAPS</v>
      </c>
      <c r="G38">
        <f>AVERAGE(XLOOKUP($B38,'AC and RGM only'!$K$1:$K$150,'AC and RGM only'!$N$1:$T$150))</f>
        <v>0.06285714285714286</v>
      </c>
      <c r="H38">
        <f>VALUE((XLOOKUP("*"&amp;($C38)&amp;"*",'STOCK ON HAND'!$F$1:$F$150,'STOCK ON HAND'!$H$1:$H$150,,2))/$E38)</f>
        <v>1.1296666666666666</v>
      </c>
      <c r="I38">
        <f>IF($G38=0,0,($H38*1/$G38))</f>
        <v>17.971969696969694</v>
      </c>
      <c r="J38">
        <f>SUMIFS('STOCK ON ORDER'!$L$1:$L$200,'STOCK ON ORDER'!$H$1:$H$200,VALUE($M38))</f>
        <v>0</v>
      </c>
      <c r="K38">
        <f>G38*10</f>
        <v>0.6285714285714286</v>
      </c>
      <c r="L38">
        <f>IF(I38&gt;10,0,IFERROR(MAX(0,K38-H38-J38),0))</f>
        <v>0</v>
      </c>
      <c r="M38">
        <v>37921</v>
      </c>
    </row>
    <row r="39">
      <c r="B39">
        <v>37999</v>
      </c>
      <c r="C39" t="str">
        <v>WRAP WASTE WHITE UNPRINTED</v>
      </c>
      <c r="E39">
        <v>5000</v>
      </c>
      <c r="F39" t="str">
        <v>WASTE WRAPS</v>
      </c>
      <c r="G39">
        <f>AVERAGE(XLOOKUP($B39,'AC and RGM only'!$K$1:$K$150,'AC and RGM only'!$N$1:$T$150))</f>
        <v>0.10857142857142857</v>
      </c>
      <c r="H39">
        <f>VALUE((XLOOKUP("*"&amp;($C39)&amp;"*",'STOCK ON HAND'!$F$1:$F$150,'STOCK ON HAND'!$H$1:$H$150,,2))/$E39)</f>
        <v>1.5466</v>
      </c>
      <c r="I39">
        <f>IF($G39=0,0,($H39*1/$G39))</f>
        <v>14.245000000000001</v>
      </c>
      <c r="J39">
        <f>SUMIFS('STOCK ON ORDER'!$L$1:$L$200,'STOCK ON ORDER'!$H$1:$H$200,VALUE($M39))</f>
        <v>0</v>
      </c>
      <c r="K39">
        <f>G39*10</f>
        <v>1.0857142857142856</v>
      </c>
      <c r="L39">
        <f>IF(I39&gt;10,0,IFERROR(MAX(0,K39-H39-J39),0))</f>
        <v>0</v>
      </c>
      <c r="M39">
        <v>37999</v>
      </c>
    </row>
  </sheetData>
  <mergeCells count="5">
    <mergeCell ref="P5:R5"/>
    <mergeCell ref="P2:R3"/>
    <mergeCell ref="F2:L3"/>
    <mergeCell ref="B3:B5"/>
    <mergeCell ref="M2:N5"/>
  </mergeCells>
  <pageMargins left="0.7" right="0.7" top="0.75" bottom="0.75" header="0.3" footer="0.3"/>
  <ignoredErrors>
    <ignoredError numberStoredAsText="1" sqref="A1:U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2">
      <c r="E2" t="str">
        <v>FREEZER BUILD TO GUIDE</v>
      </c>
      <c r="L2" t="str">
        <v>MMX item codes</v>
      </c>
    </row>
    <row r="3">
      <c r="B3" t="str">
        <v>ORDER FORM CODE</v>
      </c>
    </row>
    <row r="5">
      <c r="D5" t="str">
        <v>PER PACK</v>
      </c>
      <c r="E5" t="str">
        <v>ITEM</v>
      </c>
      <c r="F5" t="str">
        <v>1 DAY USAGE</v>
      </c>
      <c r="G5" t="str">
        <v>ON HAND</v>
      </c>
      <c r="H5" t="str">
        <v>DAYS HOLDING</v>
      </c>
      <c r="I5" t="str">
        <v>ON ORDER</v>
      </c>
      <c r="J5" t="str">
        <v>10 DAY BUILD TO</v>
      </c>
      <c r="K5" t="str">
        <v>NEED</v>
      </c>
    </row>
    <row r="6">
      <c r="B6">
        <v>40303</v>
      </c>
      <c r="D6">
        <f>6*41</f>
        <v>246</v>
      </c>
      <c r="E6" t="str">
        <v>CRISPY CHICKEN</v>
      </c>
      <c r="F6">
        <f>AVERAGE(XLOOKUP($B6,'AC and RGM only'!$K$1:$K$150,'AC and RGM only'!$N$1:$T$150))</f>
        <v>0.41285714285714287</v>
      </c>
      <c r="G6" cm="1">
        <f t="array" ref="G6">XLOOKUP($B6,VALUE('STOCK ON HAND'!$E$1:$E$150),'STOCK ON HAND'!$H$1:$H$150,0)/D6</f>
        <v>2.369918699186992</v>
      </c>
      <c r="H6">
        <f>IF($F6=0,0,($G6*1/$F6))</f>
        <v>5.7402875066812955</v>
      </c>
      <c r="I6">
        <f>SUMIFS('STOCK ON ORDER'!$L$1:$L$200,'STOCK ON ORDER'!$H$1:$H$200,VALUE($L6))</f>
        <v>2</v>
      </c>
      <c r="J6">
        <f>F6*10</f>
        <v>4.128571428571429</v>
      </c>
      <c r="K6">
        <f>IF(H6&gt;10,0,IFERROR(MAX(0,J6-G6-I6),0))</f>
        <v>0</v>
      </c>
      <c r="L6">
        <v>40303</v>
      </c>
    </row>
    <row r="7">
      <c r="B7">
        <v>37862</v>
      </c>
      <c r="D7">
        <v>12</v>
      </c>
      <c r="E7" t="str">
        <v>BLACK BEAN</v>
      </c>
      <c r="F7">
        <f>AVERAGE(XLOOKUP($B7,'AC and RGM only'!$K$1:$K$150,'AC and RGM only'!$N$1:$T$150))</f>
        <v>0.652857142857143</v>
      </c>
      <c r="G7" cm="1">
        <f t="array" ref="G7">XLOOKUP($B7,VALUE('STOCK ON HAND'!$E$1:$E$150),'STOCK ON HAND'!$H$1:$H$150,0)/D7</f>
        <v>2.8508333333333336</v>
      </c>
      <c r="H7">
        <f>IF($F7=0,0,($G7*1/$F7))</f>
        <v>4.36670313639679</v>
      </c>
      <c r="I7">
        <f>SUMIFS('STOCK ON ORDER'!$L$1:$L$200,'STOCK ON ORDER'!$H$1:$H$200,$L7)</f>
        <v>4</v>
      </c>
      <c r="J7">
        <f>F7*10</f>
        <v>6.52857142857143</v>
      </c>
      <c r="K7">
        <f>IF(H7&gt;10,0,IFERROR(MAX(0,J7-G7-I7),0))</f>
        <v>0</v>
      </c>
      <c r="L7" t="str">
        <v>38246A</v>
      </c>
    </row>
    <row r="8">
      <c r="B8">
        <v>37887</v>
      </c>
      <c r="D8">
        <v>4.5</v>
      </c>
      <c r="E8" t="str">
        <v>NACHO CHIPS (Inc Thawed)</v>
      </c>
      <c r="F8">
        <f>AVERAGE(XLOOKUP($B8,'AC and RGM only'!$K$1:$K$150,'AC and RGM only'!$N$1:$T$150))</f>
        <v>0.8214285714285714</v>
      </c>
      <c r="G8" cm="1">
        <f t="array" ref="G8">XLOOKUP($B8,VALUE('STOCK ON HAND'!$E$1:$E$150),'STOCK ON HAND'!$H$1:$H$150,0)/D8</f>
        <v>7.535555555555555</v>
      </c>
      <c r="H8">
        <f>IF($F8=0,0,($G8*1/$F8))</f>
        <v>9.173719806763284</v>
      </c>
      <c r="I8">
        <f>SUMIFS('STOCK ON ORDER'!$L$1:$L$200,'STOCK ON ORDER'!$H$1:$H$200,VALUE($L8))</f>
        <v>4</v>
      </c>
      <c r="J8">
        <f>F8*13</f>
        <v>10.678571428571429</v>
      </c>
      <c r="K8">
        <f>IF(H8&gt;10,0,IFERROR(MAX(0,J8-G8-I8),0))</f>
        <v>0</v>
      </c>
      <c r="L8">
        <v>39009</v>
      </c>
    </row>
    <row r="9">
      <c r="B9">
        <v>37897</v>
      </c>
      <c r="D9">
        <v>72</v>
      </c>
      <c r="E9" t="str">
        <v>CHURROS</v>
      </c>
      <c r="F9">
        <f>AVERAGE(XLOOKUP($B9,'AC and RGM only'!$K$1:$K$150,'AC and RGM only'!$N$1:$T$150))</f>
        <v>0.40571428571428575</v>
      </c>
      <c r="G9" cm="1">
        <f t="array" ref="G9">XLOOKUP($B9,VALUE('STOCK ON HAND'!$E$1:$E$150),'STOCK ON HAND'!$H$1:$H$150,0)/D9</f>
        <v>3.111111111111111</v>
      </c>
      <c r="H9">
        <f>IF($F9=0,0,($G9*1/$F9))</f>
        <v>7.668231611893583</v>
      </c>
      <c r="I9">
        <f>SUMIFS('STOCK ON ORDER'!$L$1:$L$200,'STOCK ON ORDER'!$H$1:$H$200,VALUE($L9))</f>
        <v>1</v>
      </c>
      <c r="J9">
        <f>F9*10</f>
        <v>4.057142857142858</v>
      </c>
      <c r="K9">
        <f>IF(H9&gt;10,0,IFERROR(MAX(0,J9-G9-I9),0))</f>
        <v>0</v>
      </c>
      <c r="L9">
        <v>37897</v>
      </c>
    </row>
    <row r="10">
      <c r="B10">
        <v>37895</v>
      </c>
      <c r="D10">
        <f>24*6</f>
        <v>144</v>
      </c>
      <c r="E10" t="str">
        <v>FLAT BREAD (Inc Thawed)</v>
      </c>
      <c r="F10">
        <f>AVERAGE(XLOOKUP($B10,'AC and RGM only'!$K$1:$K$150,'AC and RGM only'!$N$1:$T$150))</f>
        <v>0.5857142857142857</v>
      </c>
      <c r="G10" cm="1">
        <f t="array" ref="G10">XLOOKUP($B10,VALUE('STOCK ON HAND'!$E$1:$E$150),'STOCK ON HAND'!$H$1:$H$150,0)/D10</f>
        <v>4.736111111111111</v>
      </c>
      <c r="H10">
        <f>IF($F10=0,0,($G10*1/$F10))</f>
        <v>8.086043360433603</v>
      </c>
      <c r="I10">
        <f>SUMIFS('STOCK ON ORDER'!$L$1:$L$200,'STOCK ON ORDER'!$H$1:$H$200,VALUE($L10))</f>
        <v>3</v>
      </c>
      <c r="J10">
        <f>F10*13</f>
        <v>7.614285714285715</v>
      </c>
      <c r="K10">
        <f>IF(H10&gt;10,0,IFERROR(MAX(0,J10-G10-I10),0))</f>
        <v>0</v>
      </c>
      <c r="L10">
        <v>38620</v>
      </c>
    </row>
    <row r="11">
      <c r="B11">
        <v>15049</v>
      </c>
      <c r="D11">
        <v>12</v>
      </c>
      <c r="E11" t="str">
        <v>FRIES SUPERCRISP</v>
      </c>
      <c r="F11">
        <f>AVERAGE(XLOOKUP($B11,'AC and RGM only'!$K$1:$K$150,'AC and RGM only'!$N$1:$T$150))</f>
        <v>4.6971428571428575</v>
      </c>
      <c r="G11" cm="1">
        <f t="array" ref="G11">XLOOKUP($B11,VALUE('STOCK ON HAND'!$E$1:$E$150),'STOCK ON HAND'!$H$1:$H$150,0)/D11</f>
        <v>30.912499999999998</v>
      </c>
      <c r="H11">
        <f>IF($F11=0,0,($G11*1/$F11))</f>
        <v>6.581128345498782</v>
      </c>
      <c r="I11">
        <f>SUMIFS('STOCK ON ORDER'!$L$1:$L$200,'STOCK ON ORDER'!$H$1:$H$200,VALUE($L11))</f>
        <v>26</v>
      </c>
      <c r="J11">
        <f>F11*12</f>
        <v>56.36571428571429</v>
      </c>
      <c r="K11">
        <f>IF(H11&gt;10,0,IFERROR(MAX(0,J11-G11-I11),0))</f>
        <v>0</v>
      </c>
      <c r="L11">
        <v>40109</v>
      </c>
    </row>
    <row r="12">
      <c r="B12">
        <v>14791</v>
      </c>
      <c r="D12">
        <f>6*1.5</f>
        <v>9</v>
      </c>
      <c r="E12" t="str">
        <v>GUACAMOLE</v>
      </c>
      <c r="F12">
        <f>AVERAGE(XLOOKUP($B12,'AC and RGM only'!$K$1:$K$150,'AC and RGM only'!$N$1:$T$150))</f>
        <v>0.22999999999999998</v>
      </c>
      <c r="G12" cm="1">
        <f t="array" ref="G12">XLOOKUP($B12,VALUE('STOCK ON HAND'!$E$1:$E$150),'STOCK ON HAND'!$H$1:$H$150,0)/D12</f>
        <v>2.211111111111111</v>
      </c>
      <c r="H12">
        <f>IF($F12=0,0,($G12*1/$F12))</f>
        <v>9.61352657004831</v>
      </c>
      <c r="I12">
        <f>SUMIFS('STOCK ON ORDER'!$L$1:$L$200,'STOCK ON ORDER'!$H$1:$H$200,VALUE($L12))</f>
        <v>1</v>
      </c>
      <c r="J12">
        <f>F12*10</f>
        <v>2.3</v>
      </c>
      <c r="K12">
        <f>IF(H12&gt;10,0,IFERROR(MAX(0,J12-G12-I12),0))</f>
        <v>0</v>
      </c>
      <c r="L12">
        <v>14791</v>
      </c>
    </row>
    <row r="13">
      <c r="B13">
        <v>39520</v>
      </c>
      <c r="D13">
        <f>8*1.85</f>
        <v>14.8</v>
      </c>
      <c r="E13" t="str">
        <v>BEEF (Inc Thawed)</v>
      </c>
      <c r="F13">
        <f>AVERAGE(XLOOKUP($B13,'AC and RGM only'!$K$1:$K$150,'AC and RGM only'!$N$1:$T$150))</f>
        <v>1.5885714285714287</v>
      </c>
      <c r="G13" cm="1">
        <f t="array" ref="G13">XLOOKUP($B13,VALUE('STOCK ON HAND'!$E$1:$E$150),'STOCK ON HAND'!$H$1:$H$150,0)/D13</f>
        <v>12.432432432432432</v>
      </c>
      <c r="H13">
        <f>IF($F13=0,0,($G13*1/$F13))</f>
        <v>7.826171495236242</v>
      </c>
      <c r="I13">
        <f>SUMIFS('STOCK ON ORDER'!$L$1:$L$200,'STOCK ON ORDER'!$H$1:$H$200,VALUE($L13))</f>
        <v>9</v>
      </c>
      <c r="J13">
        <f>F13*13</f>
        <v>20.651428571428575</v>
      </c>
      <c r="K13">
        <f>IF(H13&gt;10,0,IFERROR(MAX(0,J13-G13-I13),0))</f>
        <v>0</v>
      </c>
      <c r="L13">
        <v>39520</v>
      </c>
    </row>
    <row r="14">
      <c r="B14">
        <v>39139</v>
      </c>
      <c r="D14">
        <v>6</v>
      </c>
      <c r="E14" t="str">
        <v>CHICKEN</v>
      </c>
      <c r="F14">
        <f>AVERAGE(XLOOKUP($B14,'AC and RGM only'!$K$1:$K$150,'AC and RGM only'!$N$1:$T$150))</f>
        <v>1.7214285714285715</v>
      </c>
      <c r="G14" cm="1">
        <f t="array" ref="G14">XLOOKUP($B14,VALUE('STOCK ON HAND'!$E$1:$E$150),'STOCK ON HAND'!$H$1:$H$150,0)/D14</f>
        <v>6.378333333333334</v>
      </c>
      <c r="H14">
        <f>IF($F14=0,0,($G14*1/$F14))</f>
        <v>3.705255878284924</v>
      </c>
      <c r="I14">
        <f>SUMIFS('STOCK ON ORDER'!$L$1:$L$200,'STOCK ON ORDER'!$H$1:$H$200,$L14)</f>
        <v>11</v>
      </c>
      <c r="J14">
        <f>F14*10</f>
        <v>17.214285714285715</v>
      </c>
      <c r="K14">
        <f>IF(H14&gt;10,0,IFERROR(MAX(0,J14-G14-I14),0))</f>
        <v>0</v>
      </c>
      <c r="L14" t="str">
        <v>39867A</v>
      </c>
    </row>
    <row r="15">
      <c r="B15">
        <v>37891</v>
      </c>
      <c r="D15">
        <f>12*36</f>
        <v>432</v>
      </c>
      <c r="E15" t="str">
        <v>TOSTADAS (Inc Thawed)</v>
      </c>
      <c r="F15">
        <f>AVERAGE(XLOOKUP($B15,'AC and RGM only'!$K$1:$K$150,'AC and RGM only'!$N$1:$T$150))</f>
        <v>0.6900000000000001</v>
      </c>
      <c r="G15" cm="1">
        <f t="array" ref="G15">XLOOKUP($B15,VALUE('STOCK ON HAND'!$E$1:$E$150),'STOCK ON HAND'!$H$1:$H$150,0)/D15</f>
        <v>5.099537037037037</v>
      </c>
      <c r="H15">
        <f>IF($F15=0,0,($G15*1/$F15))</f>
        <v>7.390633387010198</v>
      </c>
      <c r="I15">
        <f>SUMIFS('STOCK ON ORDER'!$L$1:$L$200,'STOCK ON ORDER'!$H$1:$H$200,VALUE($L15))</f>
        <v>4</v>
      </c>
      <c r="J15">
        <f>F15*13</f>
        <v>8.97</v>
      </c>
      <c r="K15">
        <f>IF(H15&gt;10,0,IFERROR(MAX(0,J15-G15-I15),0))</f>
        <v>0</v>
      </c>
      <c r="L15">
        <v>37891</v>
      </c>
    </row>
    <row r="16">
      <c r="B16">
        <v>37923</v>
      </c>
      <c r="D16">
        <f>12*12</f>
        <v>144</v>
      </c>
      <c r="E16" t="str">
        <v>10.25" TORTS (Inc Thawed)</v>
      </c>
      <c r="F16">
        <f>AVERAGE(XLOOKUP($B16,'AC and RGM only'!$K$1:$K$150,'AC and RGM only'!$N$1:$T$150))</f>
        <v>1.0885714285714285</v>
      </c>
      <c r="G16" cm="1">
        <f t="array" ref="G16">XLOOKUP($B16,VALUE('STOCK ON HAND'!$E$1:$E$150),'STOCK ON HAND'!$H$1:$H$150,0)/D16</f>
        <v>8.32638888888889</v>
      </c>
      <c r="H16">
        <f>IF($F16=0,0,($G16*1/$F16))</f>
        <v>7.648913677456985</v>
      </c>
      <c r="I16">
        <f>SUMIFS('STOCK ON ORDER'!$L$1:$L$200,'STOCK ON ORDER'!$H$1:$H$200,VALUE($L16))</f>
        <v>6</v>
      </c>
      <c r="J16">
        <f>F16*13</f>
        <v>14.151428571428571</v>
      </c>
      <c r="K16">
        <f>IF(H16&gt;10,0,IFERROR(MAX(0,J16-G16-I16),0))</f>
        <v>0</v>
      </c>
      <c r="L16">
        <v>37923</v>
      </c>
    </row>
    <row r="17">
      <c r="B17">
        <v>37925</v>
      </c>
      <c r="D17">
        <v>144</v>
      </c>
      <c r="E17" t="str">
        <v>12" TORTS (Inc Thawed)</v>
      </c>
      <c r="F17">
        <f>AVERAGE(XLOOKUP($B17,'AC and RGM only'!$K$1:$K$150,'AC and RGM only'!$N$1:$T$150))</f>
        <v>0.9457142857142857</v>
      </c>
      <c r="G17" cm="1">
        <f t="array" ref="G17">XLOOKUP($B17,VALUE('STOCK ON HAND'!$E$1:$E$150),'STOCK ON HAND'!$H$1:$H$150,0)/D17</f>
        <v>5.701388888888889</v>
      </c>
      <c r="H17">
        <f>IF($F17=0,0,($G17*1/$F17))</f>
        <v>6.028658945955018</v>
      </c>
      <c r="I17">
        <f>SUMIFS('STOCK ON ORDER'!$L$1:$L$200,'STOCK ON ORDER'!$H$1:$H$200,VALUE($L17))</f>
        <v>7</v>
      </c>
      <c r="J17">
        <f>F17*13</f>
        <v>12.294285714285714</v>
      </c>
      <c r="K17">
        <f>IF(H17&gt;10,0,IFERROR(MAX(0,J17-G17-I17),0))</f>
        <v>0</v>
      </c>
      <c r="L17">
        <v>37925</v>
      </c>
    </row>
    <row r="18">
      <c r="B18">
        <v>37927</v>
      </c>
      <c r="D18">
        <f>24*12</f>
        <v>288</v>
      </c>
      <c r="E18" t="str">
        <v>6.5" TORTS (Inc Thawed)</v>
      </c>
      <c r="F18">
        <f>AVERAGE(XLOOKUP($B18,'AC and RGM only'!$K$1:$K$150,'AC and RGM only'!$N$1:$T$150))</f>
        <v>0.32</v>
      </c>
      <c r="G18" cm="1">
        <f t="array" ref="G18">XLOOKUP($B18,VALUE('STOCK ON HAND'!$E$1:$E$150),'STOCK ON HAND'!$H$1:$H$150,0)/D18</f>
        <v>2.21875</v>
      </c>
      <c r="H18">
        <f>IF($F18=0,0,($G18*1/$F18))</f>
        <v>6.93359375</v>
      </c>
      <c r="I18">
        <f>SUMIFS('STOCK ON ORDER'!$L$1:$L$200,'STOCK ON ORDER'!$H$1:$H$200,VALUE($L18))</f>
        <v>2</v>
      </c>
      <c r="J18">
        <f>F18*13</f>
        <v>4.16</v>
      </c>
      <c r="K18">
        <f>IF(H18&gt;10,0,IFERROR(MAX(0,J18-G18-I18),0))</f>
        <v>0</v>
      </c>
      <c r="L18">
        <v>37927</v>
      </c>
    </row>
    <row r="20">
      <c r="E20" t="str">
        <v>FRIDGE BUILD TO GUIDE</v>
      </c>
    </row>
    <row r="23">
      <c r="D23" t="str">
        <v>PER PACK</v>
      </c>
      <c r="E23" t="str">
        <v>ITEM</v>
      </c>
      <c r="F23" t="str">
        <v>1 DAY USAGE</v>
      </c>
      <c r="G23" t="str">
        <v>ON HAND</v>
      </c>
      <c r="H23" t="str">
        <v>DAYS HOLDING</v>
      </c>
      <c r="I23" t="str">
        <v>ON ORDER</v>
      </c>
      <c r="J23" t="str">
        <v>10 DAY BUILD TO</v>
      </c>
      <c r="K23" t="str">
        <v>NEED</v>
      </c>
    </row>
    <row r="24">
      <c r="B24">
        <v>37876</v>
      </c>
      <c r="D24">
        <v>12</v>
      </c>
      <c r="E24" t="str">
        <v>CHEESE BLEND</v>
      </c>
      <c r="F24">
        <f>AVERAGE(XLOOKUP($B24,'AC and RGM only'!$K$1:$K$150,'AC and RGM only'!$N$1:$T$150))</f>
        <v>0.4057142857142857</v>
      </c>
      <c r="G24" cm="1">
        <f t="array" ref="G24">XLOOKUP($B24,VALUE('STOCK ON HAND'!$E$1:$E$150),'STOCK ON HAND'!$H$1:$H$150,0)/D24</f>
        <v>2.5433333333333334</v>
      </c>
      <c r="H24">
        <f>IF($F24=0,0,($G24*1/$F24))</f>
        <v>6.268779342723005</v>
      </c>
      <c r="I24">
        <f>SUMIFS('STOCK ON ORDER'!$L$1:$L$200,'STOCK ON ORDER'!$H$1:$H$200,VALUE($L24))</f>
        <v>2</v>
      </c>
      <c r="J24">
        <f>F24*10</f>
        <v>4.057142857142857</v>
      </c>
      <c r="K24">
        <f>IF(H24&gt;10,0,IFERROR(MAX(0,J24-G24-I24),0))</f>
        <v>0</v>
      </c>
      <c r="L24">
        <v>40266</v>
      </c>
    </row>
    <row r="25">
      <c r="B25">
        <v>37911</v>
      </c>
      <c r="D25">
        <v>12</v>
      </c>
      <c r="E25" t="str">
        <v>ANGEL CHEESE</v>
      </c>
      <c r="F25">
        <f>AVERAGE(XLOOKUP($B25,'AC and RGM only'!$K$1:$K$150,'AC and RGM only'!$N$1:$T$150))</f>
        <v>0.2057142857142857</v>
      </c>
      <c r="G25" cm="1">
        <f t="array" ref="G25">XLOOKUP($B25,VALUE('STOCK ON HAND'!$E$1:$E$150),'STOCK ON HAND'!$H$1:$H$150,0)/D25</f>
        <v>2.4608333333333334</v>
      </c>
      <c r="H25">
        <f>IF($F25=0,0,($G25*1/$F25))</f>
        <v>11.96238425925926</v>
      </c>
      <c r="I25">
        <f>SUMIFS('STOCK ON ORDER'!$L$1:$L$200,'STOCK ON ORDER'!$H$1:$H$200,VALUE($L25))</f>
        <v>0</v>
      </c>
      <c r="J25">
        <f>F25*10</f>
        <v>2.057142857142857</v>
      </c>
      <c r="K25">
        <f>IF(H25&gt;10,0,IFERROR(MAX(0,J25-G25-I25),0))</f>
        <v>0</v>
      </c>
      <c r="L25">
        <v>37911</v>
      </c>
    </row>
    <row r="26">
      <c r="B26">
        <v>38701</v>
      </c>
      <c r="D26">
        <v>10</v>
      </c>
      <c r="E26" t="str">
        <v>LAVA SAUCE</v>
      </c>
      <c r="F26">
        <f>AVERAGE(XLOOKUP($B26,'AC and RGM only'!$K$1:$K$150,'AC and RGM only'!$N$1:$T$150))</f>
        <v>0.16142857142857142</v>
      </c>
      <c r="G26" cm="1">
        <f t="array" ref="G26">XLOOKUP($B26,VALUE('STOCK ON HAND'!$E$1:$E$150),'STOCK ON HAND'!$H$1:$H$150,0)/D26</f>
        <v>1.4220000000000002</v>
      </c>
      <c r="H26">
        <f>IF($F26=0,0,($G26*1/$F26))</f>
        <v>8.808849557522125</v>
      </c>
      <c r="I26">
        <f>SUMIFS('STOCK ON ORDER'!$L$1:$L$200,'STOCK ON ORDER'!$H$1:$H$200,VALUE($L26))</f>
        <v>1</v>
      </c>
      <c r="J26">
        <f>F26*10</f>
        <v>1.6142857142857143</v>
      </c>
      <c r="K26">
        <f>IF(H26&gt;10,0,IFERROR(MAX(0,J26-G26-I26),0))</f>
        <v>0</v>
      </c>
      <c r="L26">
        <v>38701</v>
      </c>
    </row>
    <row r="27">
      <c r="B27">
        <v>33312</v>
      </c>
      <c r="D27">
        <v>15</v>
      </c>
      <c r="E27" t="str">
        <v>FRY OIL</v>
      </c>
      <c r="F27">
        <f>AVERAGE(XLOOKUP($B27,'AC and RGM only'!$K$1:$K$150,'AC and RGM only'!$N$1:$T$150))</f>
        <v>0.5685714285714286</v>
      </c>
      <c r="G27" cm="1">
        <f t="array" ref="G27">XLOOKUP($B27,VALUE('STOCK ON HAND'!$E$1:$E$150),'STOCK ON HAND'!$H$1:$H$150,0)/D27</f>
        <v>2.622666666666667</v>
      </c>
      <c r="H27">
        <f>IF($F27=0,0,($G27*1/$F27))</f>
        <v>4.612730318257957</v>
      </c>
      <c r="I27">
        <f>SUMIFS('STOCK ON ORDER'!$L$1:$L$200,'STOCK ON ORDER'!$H$1:$H$200,VALUE($L27))</f>
        <v>0</v>
      </c>
      <c r="J27">
        <v>8</v>
      </c>
      <c r="K27">
        <f>IF(H27&gt;10,0,IFERROR(MAX(0,J27-G27-I27),0))</f>
        <v>5.377333333333333</v>
      </c>
      <c r="L27">
        <v>507825</v>
      </c>
    </row>
    <row r="28">
      <c r="B28">
        <v>38493</v>
      </c>
      <c r="D28">
        <v>15</v>
      </c>
      <c r="E28" t="str">
        <v>CHIPOTLE MAYO</v>
      </c>
      <c r="F28">
        <f>AVERAGE(XLOOKUP($B28,'AC and RGM only'!$K$1:$K$150,'AC and RGM only'!$N$1:$T$150))</f>
        <v>0.16</v>
      </c>
      <c r="G28" cm="1">
        <f t="array" ref="G28">XLOOKUP($B28,VALUE('STOCK ON HAND'!$E$1:$E$150),'STOCK ON HAND'!$H$1:$H$150,0)/D28</f>
        <v>0.7713333333333333</v>
      </c>
      <c r="H28">
        <f>IF($F28=0,0,($G28*1/$F28))</f>
        <v>4.820833333333333</v>
      </c>
      <c r="I28">
        <f>SUMIFS('STOCK ON ORDER'!$L$1:$L$200,'STOCK ON ORDER'!$H$1:$H$200,VALUE($L28))</f>
        <v>1</v>
      </c>
      <c r="J28">
        <f>F28*10</f>
        <v>1.6</v>
      </c>
      <c r="K28">
        <f>IF(H28&gt;10,0,IFERROR(MAX(0,J28-G28-I28),0))</f>
        <v>0</v>
      </c>
      <c r="L28">
        <v>38493</v>
      </c>
    </row>
    <row r="29">
      <c r="B29">
        <v>38722</v>
      </c>
      <c r="D29">
        <v>10</v>
      </c>
      <c r="E29" t="str">
        <v>CREAMY JALAPENO</v>
      </c>
      <c r="F29">
        <f>AVERAGE(XLOOKUP($B29,'AC and RGM only'!$K$1:$K$150,'AC and RGM only'!$N$1:$T$150))</f>
        <v>0.07428571428571429</v>
      </c>
      <c r="G29" cm="1">
        <f t="array" ref="G29">XLOOKUP($B29,VALUE('STOCK ON HAND'!$E$1:$E$150),'STOCK ON HAND'!$H$1:$H$150,0)/D29</f>
        <v>1.19</v>
      </c>
      <c r="H29">
        <f>IF($F29=0,0,($G29*1/$F29))</f>
        <v>16.019230769230766</v>
      </c>
      <c r="I29">
        <f>SUMIFS('STOCK ON ORDER'!$L$1:$L$200,'STOCK ON ORDER'!$H$1:$H$200,VALUE($L29))</f>
        <v>0</v>
      </c>
      <c r="J29">
        <f>F29*10</f>
        <v>0.7428571428571429</v>
      </c>
      <c r="K29">
        <f>IF(H29&gt;10,0,IFERROR(MAX(0,J29-G29-I29),0))</f>
        <v>0</v>
      </c>
      <c r="L29">
        <v>38722</v>
      </c>
    </row>
    <row r="30">
      <c r="B30">
        <v>37909</v>
      </c>
      <c r="D30">
        <f>6*1.8</f>
        <v>10.8</v>
      </c>
      <c r="E30" t="str">
        <v>NACHO CHEESE SAUCE</v>
      </c>
      <c r="F30">
        <f>AVERAGE(XLOOKUP($B30,'AC and RGM only'!$K$1:$K$150,'AC and RGM only'!$N$1:$T$150))</f>
        <v>1.0057142857142858</v>
      </c>
      <c r="G30" cm="1">
        <f t="array" ref="G30">XLOOKUP($B30,VALUE('STOCK ON HAND'!$E$1:$E$150),'STOCK ON HAND'!$H$1:$H$150,0)/D30</f>
        <v>5.127777777777777</v>
      </c>
      <c r="H30">
        <f>IF($F30=0,0,($G30*1/$F30))</f>
        <v>5.098642676767676</v>
      </c>
      <c r="I30">
        <f>SUMIFS('STOCK ON ORDER'!$L$1:$L$200,'STOCK ON ORDER'!$H$1:$H$200,VALUE($L30))</f>
        <v>5</v>
      </c>
      <c r="J30">
        <f>F30*10</f>
        <v>10.057142857142857</v>
      </c>
      <c r="K30">
        <f>IF(H30&gt;10,0,IFERROR(MAX(0,J30-G30-I30),0))</f>
        <v>0</v>
      </c>
      <c r="L30">
        <v>37909</v>
      </c>
    </row>
    <row r="31">
      <c r="B31">
        <v>37913</v>
      </c>
      <c r="D31">
        <v>6</v>
      </c>
      <c r="E31" t="str">
        <v>PICO DE GALLO</v>
      </c>
      <c r="F31">
        <f>AVERAGE(XLOOKUP($B31,'AC and RGM only'!$K$1:$K$150,'AC and RGM only'!$N$1:$T$150))</f>
        <v>0.04285714285714285</v>
      </c>
      <c r="G31" cm="1">
        <f t="array" ref="G31">XLOOKUP($B31,VALUE('STOCK ON HAND'!$E$1:$E$150),'STOCK ON HAND'!$H$1:$H$150,0)/D31</f>
        <v>0.9700000000000001</v>
      </c>
      <c r="H31">
        <f>IF($F31=0,0,($G31*1/$F31))</f>
        <v>22.63333333333334</v>
      </c>
      <c r="I31">
        <f>SUMIFS('STOCK ON ORDER'!$L$1:$L$200,'STOCK ON ORDER'!$H$1:$H$200,VALUE($L31))</f>
        <v>0</v>
      </c>
      <c r="J31">
        <f>F31*10</f>
        <v>0.4285714285714285</v>
      </c>
      <c r="K31">
        <f>IF(H31&gt;10,0,IFERROR(MAX(0,J31-G31-I31),0))</f>
        <v>0</v>
      </c>
      <c r="L31">
        <v>37913</v>
      </c>
    </row>
    <row r="32">
      <c r="B32">
        <v>38414</v>
      </c>
      <c r="D32">
        <v>15</v>
      </c>
      <c r="E32" t="str">
        <v>ZESTY RANCH</v>
      </c>
      <c r="F32">
        <f>AVERAGE(XLOOKUP($B32,'AC and RGM only'!$K$1:$K$150,'AC and RGM only'!$N$1:$T$150))</f>
        <v>0.29857142857142854</v>
      </c>
      <c r="G32" cm="1">
        <f t="array" ref="G32">XLOOKUP($B32,VALUE('STOCK ON HAND'!$E$1:$E$150),'STOCK ON HAND'!$H$1:$H$150,0)/D32</f>
        <v>2.262</v>
      </c>
      <c r="H32">
        <f>IF($F32=0,0,($G32*1/$F32))</f>
        <v>7.576076555023924</v>
      </c>
      <c r="I32">
        <f>SUMIFS('STOCK ON ORDER'!$L$1:$L$200,'STOCK ON ORDER'!$H$1:$H$200,VALUE($L32))</f>
        <v>1</v>
      </c>
      <c r="J32">
        <f>F32*10</f>
        <v>2.9857142857142853</v>
      </c>
      <c r="K32">
        <f>IF(H32&gt;10,0,IFERROR(MAX(0,J32-G32-I32),0))</f>
        <v>0</v>
      </c>
      <c r="L32">
        <v>38414</v>
      </c>
    </row>
  </sheetData>
  <mergeCells count="4">
    <mergeCell ref="E2:K3"/>
    <mergeCell ref="L2:L5"/>
    <mergeCell ref="B3:B5"/>
    <mergeCell ref="E20:K21"/>
  </mergeCells>
  <pageMargins left="0.7" right="0.7" top="0.75" bottom="0.75" header="0.3" footer="0.3"/>
  <ignoredErrors>
    <ignoredError numberStoredAsText="1" sqref="A1:N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9"/>
  <sheetViews>
    <sheetView workbookViewId="0" rightToLeft="0"/>
  </sheetViews>
  <sheetData>
    <row r="2">
      <c r="E2" t="str">
        <v>SCHWEPPES BUILD-TO GUIDE</v>
      </c>
      <c r="L2" t="str">
        <v>MMX item codes</v>
      </c>
    </row>
    <row r="3">
      <c r="B3" t="str">
        <v>ORDER FORM CODE</v>
      </c>
    </row>
    <row r="5">
      <c r="D5" t="str">
        <v>PER PACK</v>
      </c>
      <c r="E5" t="str">
        <v>ITEM</v>
      </c>
      <c r="F5" t="str">
        <v>1 DAY USAGE</v>
      </c>
      <c r="G5" t="str">
        <v>ON HAND</v>
      </c>
      <c r="H5" t="str">
        <v>DAYS HOLDING</v>
      </c>
      <c r="I5" t="str">
        <v>ON ORDER</v>
      </c>
      <c r="J5" t="str">
        <v>10 DAY BUILD TO</v>
      </c>
      <c r="K5" t="str">
        <v>NEED</v>
      </c>
    </row>
    <row r="6">
      <c r="B6">
        <v>100402</v>
      </c>
      <c r="D6">
        <v>24</v>
      </c>
      <c r="E6" t="str">
        <v>SPARKLING WATER</v>
      </c>
      <c r="F6">
        <f>AVERAGE(XLOOKUP($B6,'AC and RGM only'!$K$1:$K$150,'AC and RGM only'!$N$1:$T$150))</f>
        <v>0.04142857142857143</v>
      </c>
      <c r="G6" cm="1">
        <f t="array" ref="G6">XLOOKUP($B6,VALUE('STOCK ON HAND'!$E$1:$E$150),'STOCK ON HAND'!$H$1:$H$150,0)/D6</f>
        <v>0.375</v>
      </c>
      <c r="H6">
        <f>IF($F6=0,0,($G6*1/$F6))</f>
        <v>9.051724137931034</v>
      </c>
      <c r="I6">
        <f>SUMIFS('STOCK ON ORDER'!$L$1:$L$200,'STOCK ON ORDER'!$H$1:$H$200,VALUE($L6))</f>
        <v>1</v>
      </c>
      <c r="J6">
        <f>F6*13</f>
        <v>0.5385714285714286</v>
      </c>
      <c r="K6">
        <f>IF(H6&gt;13,0,IFERROR(MAX(0,J6-G6-I6),0))</f>
        <v>0</v>
      </c>
      <c r="L6">
        <v>10005242</v>
      </c>
    </row>
    <row r="7">
      <c r="B7">
        <v>100403</v>
      </c>
      <c r="D7">
        <v>24</v>
      </c>
      <c r="E7" t="str">
        <v>RED BULL</v>
      </c>
      <c r="F7">
        <f>AVERAGE(XLOOKUP($B7,'AC and RGM only'!$K$1:$K$150,'AC and RGM only'!$N$1:$T$150))</f>
        <v>0.06</v>
      </c>
      <c r="G7" cm="1">
        <f t="array" ref="G7">XLOOKUP($B7,VALUE('STOCK ON HAND'!$E$1:$E$150),'STOCK ON HAND'!$H$1:$H$150,0)/D7</f>
        <v>0.5416666666666666</v>
      </c>
      <c r="H7">
        <f>IF($F7=0,0,($G7*1/$F7))</f>
        <v>9.027777777777777</v>
      </c>
      <c r="I7">
        <f>SUMIFS('STOCK ON ORDER'!$L$1:$L$200,'STOCK ON ORDER'!$H$1:$H$200,VALUE($L7))</f>
        <v>1</v>
      </c>
      <c r="J7">
        <f>F7*13</f>
        <v>0.78</v>
      </c>
      <c r="K7">
        <f>IF(H7&gt;13,0,IFERROR(MAX(0,J7-G7-I7),0))</f>
        <v>0</v>
      </c>
      <c r="L7">
        <v>10006909</v>
      </c>
    </row>
    <row r="8">
      <c r="B8">
        <v>100404</v>
      </c>
      <c r="D8">
        <v>24</v>
      </c>
      <c r="E8" t="str">
        <v>RED BULL S/FREE</v>
      </c>
      <c r="F8">
        <f>AVERAGE(XLOOKUP($B8,'AC and RGM only'!$K$1:$K$150,'AC and RGM only'!$N$1:$T$150))</f>
        <v>0.005714285714285714</v>
      </c>
      <c r="G8" cm="1">
        <f t="array" ref="G8">XLOOKUP($B8,VALUE('STOCK ON HAND'!$E$1:$E$150),'STOCK ON HAND'!$H$1:$H$150,0)/D8</f>
        <v>0.6666666666666666</v>
      </c>
      <c r="H8">
        <f>IF($F8=0,0,($G8*1/$F8))</f>
        <v>116.66666666666666</v>
      </c>
      <c r="I8">
        <f>SUMIFS('STOCK ON ORDER'!$L$1:$L$200,'STOCK ON ORDER'!$H$1:$H$200,VALUE($L8))</f>
        <v>0</v>
      </c>
      <c r="J8">
        <f>F8*13</f>
        <v>0.07428571428571429</v>
      </c>
      <c r="K8">
        <f>IF(H8&gt;13,0,IFERROR(MAX(0,J8-G8-I8),0))</f>
        <v>0</v>
      </c>
      <c r="L8">
        <v>10006936</v>
      </c>
    </row>
    <row r="9">
      <c r="B9">
        <v>100405</v>
      </c>
      <c r="D9">
        <v>12</v>
      </c>
      <c r="E9" t="str">
        <v>RED BULL TROPICAL</v>
      </c>
      <c r="F9">
        <f>AVERAGE(XLOOKUP($B9,'AC and RGM only'!$K$1:$K$150,'AC and RGM only'!$N$1:$T$150))</f>
        <v>0.09428571428571429</v>
      </c>
      <c r="G9" cm="1">
        <f t="array" ref="G9">XLOOKUP($B9,VALUE('STOCK ON HAND'!$E$1:$E$150),'STOCK ON HAND'!$H$1:$H$150,0)/D9</f>
        <v>1.0833333333333333</v>
      </c>
      <c r="H9">
        <f>IF($F9=0,0,($G9*1/$F9))</f>
        <v>11.489898989898988</v>
      </c>
      <c r="I9">
        <f>SUMIFS('STOCK ON ORDER'!$L$1:$L$200,'STOCK ON ORDER'!$H$1:$H$200,VALUE($L9))</f>
        <v>1</v>
      </c>
      <c r="J9">
        <f>F9*13</f>
        <v>1.2257142857142858</v>
      </c>
      <c r="K9">
        <f>IF(H9&gt;13,0,IFERROR(MAX(0,J9-G9-I9),0))</f>
        <v>0</v>
      </c>
      <c r="L9">
        <v>10006942</v>
      </c>
    </row>
    <row r="10">
      <c r="B10">
        <v>100400</v>
      </c>
      <c r="D10">
        <v>24</v>
      </c>
      <c r="E10" t="str">
        <v>POP TOP - APPLE</v>
      </c>
      <c r="F10">
        <f>AVERAGE(XLOOKUP($B10,'AC and RGM only'!$K$1:$K$150,'AC and RGM only'!$N$1:$T$150))</f>
        <v>0.07142857142857142</v>
      </c>
      <c r="G10" cm="1">
        <f t="array" ref="G10">XLOOKUP($B10,VALUE('STOCK ON HAND'!$E$1:$E$150),'STOCK ON HAND'!$H$1:$H$150,0)/D10</f>
        <v>0.5833333333333334</v>
      </c>
      <c r="H10">
        <f>IF($F10=0,0,($G10*1/$F10))</f>
        <v>8.166666666666668</v>
      </c>
      <c r="I10">
        <f>SUMIFS('STOCK ON ORDER'!$L$1:$L$200,'STOCK ON ORDER'!$H$1:$H$200,VALUE($L10))</f>
        <v>1</v>
      </c>
      <c r="J10">
        <f>F10*13</f>
        <v>0.9285714285714285</v>
      </c>
      <c r="K10">
        <f>IF(H10&gt;13,0,IFERROR(MAX(0,J10-G10-I10),0))</f>
        <v>0</v>
      </c>
      <c r="L10">
        <v>10007182</v>
      </c>
    </row>
    <row r="11">
      <c r="B11">
        <v>100401</v>
      </c>
      <c r="D11">
        <v>24</v>
      </c>
      <c r="E11" t="str">
        <v>POP TOP - ORANGE</v>
      </c>
      <c r="F11">
        <f>AVERAGE(XLOOKUP($B11,'AC and RGM only'!$K$1:$K$150,'AC and RGM only'!$N$1:$T$150))</f>
        <v>0.022857142857142857</v>
      </c>
      <c r="G11" cm="1">
        <f t="array" ref="G11">XLOOKUP($B11,VALUE('STOCK ON HAND'!$E$1:$E$150),'STOCK ON HAND'!$H$1:$H$150,0)/D11</f>
        <v>1.5416666666666667</v>
      </c>
      <c r="H11">
        <f>IF($F11=0,0,($G11*1/$F11))</f>
        <v>67.44791666666667</v>
      </c>
      <c r="I11">
        <f>SUMIFS('STOCK ON ORDER'!$L$1:$L$200,'STOCK ON ORDER'!$H$1:$H$200,VALUE($L11))</f>
        <v>0</v>
      </c>
      <c r="J11">
        <f>F11*13</f>
        <v>0.29714285714285715</v>
      </c>
      <c r="K11">
        <f>IF(H11&gt;13,0,IFERROR(MAX(0,J11-G11-I11),0))</f>
        <v>0</v>
      </c>
      <c r="L11">
        <v>10007184</v>
      </c>
    </row>
    <row r="12">
      <c r="B12">
        <v>100399</v>
      </c>
      <c r="D12">
        <v>12</v>
      </c>
      <c r="E12" t="str">
        <v>SPRING VALLEY APPLE</v>
      </c>
      <c r="F12">
        <f>AVERAGE(XLOOKUP($B12,'AC and RGM only'!$K$1:$K$150,'AC and RGM only'!$N$1:$T$150))</f>
        <v>0.05714285714285715</v>
      </c>
      <c r="G12" cm="1">
        <f t="array" ref="G12">XLOOKUP($B12,VALUE('STOCK ON HAND'!$E$1:$E$150),'STOCK ON HAND'!$H$1:$H$150,0)/D12</f>
        <v>0.8333333333333334</v>
      </c>
      <c r="H12">
        <f>IF($F12=0,0,($G12*1/$F12))</f>
        <v>14.583333333333332</v>
      </c>
      <c r="I12">
        <f>SUMIFS('STOCK ON ORDER'!$L$1:$L$200,'STOCK ON ORDER'!$H$1:$H$200,VALUE($L12))</f>
        <v>0</v>
      </c>
      <c r="J12">
        <f>F12*13</f>
        <v>0.7428571428571429</v>
      </c>
      <c r="K12">
        <f>IF(H12&gt;13,0,IFERROR(MAX(0,J12-G12-I12),0))</f>
        <v>0</v>
      </c>
      <c r="L12">
        <v>10008418</v>
      </c>
    </row>
    <row r="13">
      <c r="B13">
        <v>16520</v>
      </c>
      <c r="D13">
        <v>24</v>
      </c>
      <c r="E13" t="str">
        <v>7UP BOTTLE</v>
      </c>
      <c r="F13">
        <f>AVERAGE(XLOOKUP($B13,'AC and RGM only'!$K$1:$K$150,'AC and RGM only'!$N$1:$T$150))</f>
        <v>0.09571428571428572</v>
      </c>
      <c r="G13" cm="1">
        <f t="array" ref="G13">XLOOKUP($B13,VALUE('STOCK ON HAND'!$E$1:$E$150),'STOCK ON HAND'!$H$1:$H$150,0)/D13</f>
        <v>1.2916666666666667</v>
      </c>
      <c r="H13">
        <f>IF($F13=0,0,($G13*1/$F13))</f>
        <v>13.49502487562189</v>
      </c>
      <c r="I13">
        <f>SUMIFS('STOCK ON ORDER'!$L$1:$L$200,'STOCK ON ORDER'!$H$1:$H$200,VALUE($L13))</f>
        <v>0</v>
      </c>
      <c r="J13">
        <f>F13*13</f>
        <v>1.2442857142857144</v>
      </c>
      <c r="K13">
        <f>IF(H13&gt;13,0,IFERROR(MAX(0,J13-G13-I13),0))</f>
        <v>0</v>
      </c>
      <c r="L13">
        <v>3227</v>
      </c>
    </row>
    <row r="14">
      <c r="B14">
        <v>14602</v>
      </c>
      <c r="D14">
        <v>30</v>
      </c>
      <c r="E14" t="str">
        <v>7UP CAN</v>
      </c>
      <c r="F14">
        <f>AVERAGE(XLOOKUP($B14,'AC and RGM only'!$K$1:$K$150,'AC and RGM only'!$N$1:$T$150))</f>
        <v>0.06714285714285716</v>
      </c>
      <c r="G14" cm="1">
        <f t="array" ref="G14">XLOOKUP($B14,VALUE('STOCK ON HAND'!$E$1:$E$150),'STOCK ON HAND'!$H$1:$H$150,0)/D14</f>
        <v>1.4</v>
      </c>
      <c r="H14">
        <f>IF($F14=0,0,($G14*1/$F14))</f>
        <v>20.85106382978723</v>
      </c>
      <c r="I14">
        <f>SUMIFS('STOCK ON ORDER'!$L$1:$L$200,'STOCK ON ORDER'!$H$1:$H$200,VALUE($L14))</f>
        <v>0</v>
      </c>
      <c r="J14">
        <f>F14*13</f>
        <v>0.872857142857143</v>
      </c>
      <c r="K14">
        <f>IF(H14&gt;13,0,IFERROR(MAX(0,J14-G14-I14),0))</f>
        <v>0</v>
      </c>
      <c r="L14">
        <v>10007576</v>
      </c>
    </row>
    <row r="15">
      <c r="B15">
        <v>12153</v>
      </c>
      <c r="D15">
        <v>15</v>
      </c>
      <c r="E15" t="str">
        <v>7UP BIB</v>
      </c>
      <c r="F15">
        <f>AVERAGE(XLOOKUP($B15,'AC and RGM only'!$K$1:$K$150,'AC and RGM only'!$N$1:$T$150))</f>
        <v>0.03</v>
      </c>
      <c r="G15" cm="1">
        <f t="array" ref="G15">XLOOKUP($B15,VALUE('STOCK ON HAND'!$E$1:$E$150),'STOCK ON HAND'!$H$1:$H$150,0)/D15</f>
        <v>3.18</v>
      </c>
      <c r="H15">
        <f>IF($F15=0,0,($G15*1/$F15))</f>
        <v>106.00000000000001</v>
      </c>
      <c r="I15">
        <f>SUMIFS('STOCK ON ORDER'!$L$1:$L$200,'STOCK ON ORDER'!$H$1:$H$200,VALUE($L15))</f>
        <v>0</v>
      </c>
      <c r="J15">
        <v>3</v>
      </c>
      <c r="K15">
        <f>IFERROR(MAX(0,J15-G15-I15),0)</f>
        <v>0</v>
      </c>
      <c r="L15">
        <v>3939</v>
      </c>
    </row>
    <row r="16">
      <c r="B16">
        <v>36224</v>
      </c>
      <c r="D16">
        <v>10</v>
      </c>
      <c r="E16" t="str">
        <v>FROZEN MOUNTAIN DEW</v>
      </c>
      <c r="F16">
        <f>AVERAGE(XLOOKUP($B16,'AC and RGM only'!$K$1:$K$150,'AC and RGM only'!$N$1:$T$150))</f>
        <v>0.015714285714285715</v>
      </c>
      <c r="G16" cm="1">
        <f t="array" ref="G16">XLOOKUP($B16,VALUE('STOCK ON HAND'!$E$1:$E$150),'STOCK ON HAND'!$H$1:$H$150,0)/D16</f>
        <v>2</v>
      </c>
      <c r="H16">
        <f>IF($F16=0,0,($G16*1/$F16))</f>
        <v>127.27272727272727</v>
      </c>
      <c r="I16">
        <f>SUMIFS('STOCK ON ORDER'!$L$1:$L$200,'STOCK ON ORDER'!$H$1:$H$200,VALUE($L16))</f>
        <v>0</v>
      </c>
      <c r="J16">
        <v>1</v>
      </c>
      <c r="K16">
        <f>IFERROR(MAX(0,J16-G16-I16),0)</f>
        <v>0</v>
      </c>
      <c r="L16">
        <v>10005562</v>
      </c>
    </row>
    <row r="17">
      <c r="B17">
        <v>36128</v>
      </c>
      <c r="D17">
        <v>10</v>
      </c>
      <c r="E17" t="str">
        <v>FROZEN PEPSI</v>
      </c>
      <c r="F17">
        <f>AVERAGE(XLOOKUP($B17,'AC and RGM only'!$K$1:$K$150,'AC and RGM only'!$N$1:$T$150))</f>
        <v>0.032857142857142856</v>
      </c>
      <c r="G17" cm="1">
        <f t="array" ref="G17">XLOOKUP($B17,VALUE('STOCK ON HAND'!$E$1:$E$150),'STOCK ON HAND'!$H$1:$H$150,0)/D17</f>
        <v>2</v>
      </c>
      <c r="H17">
        <f>IF($F17=0,0,($G17*1/$F17))</f>
        <v>60.869565217391305</v>
      </c>
      <c r="I17">
        <f>SUMIFS('STOCK ON ORDER'!$L$1:$L$200,'STOCK ON ORDER'!$H$1:$H$200,VALUE($L17))</f>
        <v>0</v>
      </c>
      <c r="J17">
        <v>1</v>
      </c>
      <c r="K17">
        <f>IFERROR(MAX(0,J17-G17-I17),0)</f>
        <v>0</v>
      </c>
      <c r="L17">
        <v>4095</v>
      </c>
    </row>
    <row r="18">
      <c r="B18">
        <v>38531</v>
      </c>
      <c r="D18">
        <v>10</v>
      </c>
      <c r="E18" t="str">
        <v>FROZEN RASPBERRY</v>
      </c>
      <c r="F18">
        <f>AVERAGE(XLOOKUP($B18,'AC and RGM only'!$K$1:$K$150,'AC and RGM only'!$N$1:$T$150))</f>
        <v>0.005714285714285714</v>
      </c>
      <c r="G18" cm="1">
        <f t="array" ref="G18">XLOOKUP($B18,VALUE('STOCK ON HAND'!$E$1:$E$150),'STOCK ON HAND'!$H$1:$H$150,0)/D18</f>
        <v>1.987</v>
      </c>
      <c r="H18">
        <f>IF($F18=0,0,($G18*1/$F18))</f>
        <v>347.725</v>
      </c>
      <c r="I18">
        <f>SUMIFS('STOCK ON ORDER'!$L$1:$L$200,'STOCK ON ORDER'!$H$1:$H$200,VALUE($L18))</f>
        <v>0</v>
      </c>
      <c r="J18">
        <v>1</v>
      </c>
      <c r="K18">
        <f>IFERROR(MAX(0,J18-G18-I18),0)</f>
        <v>0</v>
      </c>
      <c r="L18">
        <v>4091</v>
      </c>
    </row>
    <row r="19">
      <c r="B19">
        <v>38704</v>
      </c>
      <c r="D19">
        <v>24</v>
      </c>
      <c r="E19" t="str">
        <v>LEMON ICED TEA</v>
      </c>
      <c r="F19">
        <f>AVERAGE(XLOOKUP($B19,'AC and RGM only'!$K$1:$K$150,'AC and RGM only'!$N$1:$T$150))</f>
        <v>0.017142857142857144</v>
      </c>
      <c r="G19" cm="1">
        <f t="array" ref="G19">XLOOKUP($B19,VALUE('STOCK ON HAND'!$E$1:$E$150),'STOCK ON HAND'!$H$1:$H$150,0)/D19</f>
        <v>0.7083333333333334</v>
      </c>
      <c r="H19">
        <f>IF($F19=0,0,($G19*1/$F19))</f>
        <v>41.31944444444444</v>
      </c>
      <c r="I19">
        <f>SUMIFS('STOCK ON ORDER'!$L$1:$L$200,'STOCK ON ORDER'!$H$1:$H$200,VALUE($L19))</f>
        <v>0</v>
      </c>
      <c r="J19">
        <f>F19*13</f>
        <v>0.22285714285714286</v>
      </c>
      <c r="K19">
        <f>IF(H19&gt;13,0,IFERROR(MAX(0,J19-G19-I19),0))</f>
        <v>0</v>
      </c>
      <c r="L19">
        <v>10006824</v>
      </c>
    </row>
    <row r="20">
      <c r="B20">
        <v>38705</v>
      </c>
      <c r="D20">
        <v>24</v>
      </c>
      <c r="E20" t="str">
        <v>PEACH ICED TEA</v>
      </c>
      <c r="F20">
        <f>AVERAGE(XLOOKUP($B20,'AC and RGM only'!$K$1:$K$150,'AC and RGM only'!$N$1:$T$150))</f>
        <v>0.12428571428571426</v>
      </c>
      <c r="G20" cm="1">
        <f t="array" ref="G20">XLOOKUP($B20,VALUE('STOCK ON HAND'!$E$1:$E$150),'STOCK ON HAND'!$H$1:$H$150,0)/D20</f>
        <v>1.7083333333333333</v>
      </c>
      <c r="H20">
        <f>IF($F20=0,0,($G20*1/$F20))</f>
        <v>13.74521072796935</v>
      </c>
      <c r="I20">
        <f>SUMIFS('STOCK ON ORDER'!$L$1:$L$200,'STOCK ON ORDER'!$H$1:$H$200,VALUE($L20))</f>
        <v>0</v>
      </c>
      <c r="J20">
        <f>F20*13</f>
        <v>1.6157142857142854</v>
      </c>
      <c r="K20">
        <f>IF(H20&gt;13,0,IFERROR(MAX(0,J20-G20-I20),0))</f>
        <v>0</v>
      </c>
      <c r="L20">
        <v>10006826</v>
      </c>
    </row>
    <row r="21">
      <c r="B21">
        <v>16521</v>
      </c>
      <c r="D21">
        <v>24</v>
      </c>
      <c r="E21" t="str">
        <v>MOUNTAIN DEW BOTTLE</v>
      </c>
      <c r="F21">
        <f>AVERAGE(XLOOKUP($B21,'AC and RGM only'!$K$1:$K$150,'AC and RGM only'!$N$1:$T$150))</f>
        <v>0.1742857142857143</v>
      </c>
      <c r="G21" cm="1">
        <f t="array" ref="G21">XLOOKUP($B21,VALUE('STOCK ON HAND'!$E$1:$E$150),'STOCK ON HAND'!$H$1:$H$150,0)/D21</f>
        <v>2.0416666666666665</v>
      </c>
      <c r="H21">
        <f>IF($F21=0,0,($G21*1/$F21))</f>
        <v>11.714480874316939</v>
      </c>
      <c r="I21">
        <f>SUMIFS('STOCK ON ORDER'!$L$1:$L$200,'STOCK ON ORDER'!$H$1:$H$200,VALUE($L21))</f>
        <v>0</v>
      </c>
      <c r="J21">
        <f>F21*13</f>
        <v>2.265714285714286</v>
      </c>
      <c r="K21">
        <f>IF(H21&gt;13,0,IFERROR(MAX(0,J21-G21-I21),0))</f>
        <v>0.2240476190476195</v>
      </c>
      <c r="L21">
        <v>10004815</v>
      </c>
      <c r="M21">
        <v>10008621</v>
      </c>
    </row>
    <row r="22">
      <c r="B22">
        <v>14603</v>
      </c>
      <c r="D22">
        <v>30</v>
      </c>
      <c r="E22" t="str">
        <v xml:space="preserve">MOUNTAIN DEW CAN </v>
      </c>
      <c r="F22">
        <f>AVERAGE(XLOOKUP($B22,'AC and RGM only'!$K$1:$K$150,'AC and RGM only'!$N$1:$T$150))</f>
        <v>0.14428571428571432</v>
      </c>
      <c r="G22" cm="1">
        <f t="array" ref="G22">XLOOKUP($B22,VALUE('STOCK ON HAND'!$E$1:$E$150),'STOCK ON HAND'!$H$1:$H$150,0)/D22</f>
        <v>0.7333333333333333</v>
      </c>
      <c r="H22">
        <f>IF($F22=0,0,($G22*1/$F22))</f>
        <v>5.0825082508250805</v>
      </c>
      <c r="I22">
        <f>SUMIFS('STOCK ON ORDER'!$L$1:$L$200,'STOCK ON ORDER'!$H$1:$H$200,VALUE($L22))</f>
        <v>1</v>
      </c>
      <c r="J22">
        <f>F22*13</f>
        <v>1.8757142857142861</v>
      </c>
      <c r="K22">
        <f>IF(H22&gt;13,0,IFERROR(MAX(0,J22-G22-I22),0))</f>
        <v>0.14238095238095294</v>
      </c>
      <c r="L22">
        <v>10007191</v>
      </c>
      <c r="M22">
        <v>10008634</v>
      </c>
    </row>
    <row r="23">
      <c r="B23">
        <v>14606</v>
      </c>
      <c r="D23">
        <v>15</v>
      </c>
      <c r="E23" t="str">
        <v>MOUNTAIN DEW BIB</v>
      </c>
      <c r="F23">
        <f>AVERAGE(XLOOKUP($B23,'AC and RGM only'!$K$1:$K$150,'AC and RGM only'!$N$1:$T$150))</f>
        <v>0.06142857142857143</v>
      </c>
      <c r="G23" cm="1">
        <f t="array" ref="G23">XLOOKUP($B23,VALUE('STOCK ON HAND'!$E$1:$E$150),'STOCK ON HAND'!$H$1:$H$150,0)/D23</f>
        <v>1.9453333333333334</v>
      </c>
      <c r="H23">
        <f>IF($F23=0,0,($G23*1/$F23))</f>
        <v>31.668217054263565</v>
      </c>
      <c r="I23">
        <f>SUMIFS('STOCK ON ORDER'!$L$1:$L$200,'STOCK ON ORDER'!$H$1:$H$200,VALUE($L23))</f>
        <v>2</v>
      </c>
      <c r="J23">
        <v>3</v>
      </c>
      <c r="K23">
        <f>IFERROR(MAX(0,J23-G23-I23),0)</f>
        <v>0</v>
      </c>
      <c r="L23">
        <v>10005385</v>
      </c>
    </row>
    <row r="24">
      <c r="B24">
        <v>14648</v>
      </c>
      <c r="D24">
        <v>24</v>
      </c>
      <c r="E24" t="str">
        <v>PEPSI BOTTLE</v>
      </c>
      <c r="F24">
        <f>AVERAGE(XLOOKUP($B24,'AC and RGM only'!$K$1:$K$150,'AC and RGM only'!$N$1:$T$150))</f>
        <v>0.0642857142857143</v>
      </c>
      <c r="G24" cm="1">
        <f t="array" ref="G24">XLOOKUP($B24,VALUE('STOCK ON HAND'!$E$1:$E$150),'STOCK ON HAND'!$H$1:$H$150,0)/D24</f>
        <v>1.4583333333333333</v>
      </c>
      <c r="H24">
        <f>IF($F24=0,0,($G24*1/$F24))</f>
        <v>22.68518518518518</v>
      </c>
      <c r="I24">
        <f>SUMIFS('STOCK ON ORDER'!$L$1:$L$200,'STOCK ON ORDER'!$H$1:$H$200,VALUE($L24))</f>
        <v>0</v>
      </c>
      <c r="J24">
        <f>F24*13</f>
        <v>0.8357142857142859</v>
      </c>
      <c r="K24">
        <f>IF(H24&gt;13,0,IFERROR(MAX(0,J24-G24-I24),0))</f>
        <v>0</v>
      </c>
      <c r="L24">
        <v>10008623</v>
      </c>
      <c r="M24">
        <v>3221</v>
      </c>
    </row>
    <row r="25">
      <c r="B25">
        <v>12150</v>
      </c>
      <c r="D25">
        <v>30</v>
      </c>
      <c r="E25" t="str">
        <v xml:space="preserve">PEPSI CAN </v>
      </c>
      <c r="F25">
        <f>AVERAGE(XLOOKUP($B25,'AC and RGM only'!$K$1:$K$150,'AC and RGM only'!$N$1:$T$150))</f>
        <v>0.08857142857142859</v>
      </c>
      <c r="G25" cm="1">
        <f t="array" ref="G25">XLOOKUP($B25,VALUE('STOCK ON HAND'!$E$1:$E$150),'STOCK ON HAND'!$H$1:$H$150,0)/D25</f>
        <v>1.7</v>
      </c>
      <c r="H25">
        <f>IF($F25=0,0,($G25*1/$F25))</f>
        <v>19.19354838709677</v>
      </c>
      <c r="I25">
        <f>SUMIFS('STOCK ON ORDER'!$L$1:$L$200,'STOCK ON ORDER'!$H$1:$H$200,VALUE($L25))</f>
        <v>0</v>
      </c>
      <c r="J25">
        <f>F25*13</f>
        <v>1.1514285714285717</v>
      </c>
      <c r="K25">
        <f>IF(H25&gt;13,0,IFERROR(MAX(0,J25-G25-I25),0))</f>
        <v>0</v>
      </c>
      <c r="L25">
        <v>10004724</v>
      </c>
      <c r="M25">
        <v>10008633</v>
      </c>
    </row>
    <row r="26">
      <c r="B26">
        <v>12128</v>
      </c>
      <c r="D26">
        <v>24</v>
      </c>
      <c r="E26" t="str">
        <v>PEPSI MAX BOTTLE</v>
      </c>
      <c r="F26">
        <f>AVERAGE(XLOOKUP($B26,'AC and RGM only'!$K$1:$K$150,'AC and RGM only'!$N$1:$T$150))</f>
        <v>0.34285714285714286</v>
      </c>
      <c r="G26" cm="1">
        <f t="array" ref="G26">XLOOKUP($B26,VALUE('STOCK ON HAND'!$E$1:$E$150),'STOCK ON HAND'!$H$1:$H$150,0)/D26</f>
        <v>3.0833333333333335</v>
      </c>
      <c r="H26">
        <f>IF($F26=0,0,($G26*1/$F26))</f>
        <v>8.993055555555555</v>
      </c>
      <c r="I26">
        <f>SUMIFS('STOCK ON ORDER'!$L$1:$L$200,'STOCK ON ORDER'!$H$1:$H$200,VALUE($L26))</f>
        <v>2</v>
      </c>
      <c r="J26">
        <f>F26*13</f>
        <v>4.457142857142857</v>
      </c>
      <c r="K26">
        <f>IF(H26&gt;13,0,IFERROR(MAX(0,J26-G26-I26),0))</f>
        <v>0</v>
      </c>
      <c r="L26">
        <v>3226</v>
      </c>
    </row>
    <row r="27">
      <c r="B27">
        <v>14601</v>
      </c>
      <c r="D27">
        <v>30</v>
      </c>
      <c r="E27" t="str">
        <v>PEPSI MAX CAN</v>
      </c>
      <c r="F27">
        <f>AVERAGE(XLOOKUP($B27,'AC and RGM only'!$K$1:$K$150,'AC and RGM only'!$N$1:$T$150))</f>
        <v>0.2671428571428572</v>
      </c>
      <c r="G27" cm="1">
        <f t="array" ref="G27">XLOOKUP($B27,VALUE('STOCK ON HAND'!$E$1:$E$150),'STOCK ON HAND'!$H$1:$H$150,0)/D27</f>
        <v>3.6333333333333333</v>
      </c>
      <c r="H27">
        <f>IF($F27=0,0,($G27*1/$F27))</f>
        <v>13.600713012477716</v>
      </c>
      <c r="I27">
        <f>SUMIFS('STOCK ON ORDER'!$L$1:$L$200,'STOCK ON ORDER'!$H$1:$H$200,VALUE($L27))</f>
        <v>0</v>
      </c>
      <c r="J27">
        <f>F27*13</f>
        <v>3.4728571428571433</v>
      </c>
      <c r="K27">
        <f>IF(H27&gt;13,0,IFERROR(MAX(0,J27-G27-I27),0))</f>
        <v>0</v>
      </c>
      <c r="L27">
        <v>10004423</v>
      </c>
    </row>
    <row r="28">
      <c r="B28">
        <v>16235</v>
      </c>
      <c r="D28">
        <v>10</v>
      </c>
      <c r="E28" t="str">
        <v>PEPSI MAX BIB</v>
      </c>
      <c r="F28">
        <f>AVERAGE(XLOOKUP($B28,'AC and RGM only'!$K$1:$K$150,'AC and RGM only'!$N$1:$T$150))</f>
        <v>0.2285714285714286</v>
      </c>
      <c r="G28" cm="1">
        <f t="array" ref="G28">XLOOKUP($B28,VALUE('STOCK ON HAND'!$E$1:$E$150),'STOCK ON HAND'!$H$1:$H$150,0)/D28</f>
        <v>2.96</v>
      </c>
      <c r="H28">
        <f>IF($F28=0,0,($G28*1/$F28))</f>
        <v>12.95</v>
      </c>
      <c r="I28">
        <f>SUMIFS('STOCK ON ORDER'!$L$1:$L$200,'STOCK ON ORDER'!$H$1:$H$200,VALUE($L28))</f>
        <v>3</v>
      </c>
      <c r="J28">
        <v>6</v>
      </c>
      <c r="K28">
        <f>IFERROR(MAX(0,J28-G28-I28),0)</f>
        <v>0.040000000000000036</v>
      </c>
      <c r="L28">
        <v>3478</v>
      </c>
    </row>
    <row r="29">
      <c r="B29">
        <v>12151</v>
      </c>
      <c r="D29">
        <v>15</v>
      </c>
      <c r="E29" t="str">
        <v>PEPSI BIB</v>
      </c>
      <c r="F29">
        <f>AVERAGE(XLOOKUP($B29,'AC and RGM only'!$K$1:$K$150,'AC and RGM only'!$N$1:$T$150))</f>
        <v>0.5485714285714286</v>
      </c>
      <c r="G29" cm="1">
        <f t="array" ref="G29">XLOOKUP($B29,VALUE('STOCK ON HAND'!$E$1:$E$150),'STOCK ON HAND'!$H$1:$H$150,0)/D29</f>
        <v>3.714</v>
      </c>
      <c r="H29">
        <f>IF($F29=0,0,($G29*1/$F29))</f>
        <v>6.770312499999999</v>
      </c>
      <c r="I29">
        <f>SUMIFS('STOCK ON ORDER'!$L$1:$L$200,'STOCK ON ORDER'!$H$1:$H$200,VALUE($L29))</f>
        <v>1</v>
      </c>
      <c r="J29">
        <v>4</v>
      </c>
      <c r="K29">
        <f>IFERROR(MAX(0,J29-G29-I29),0)</f>
        <v>0</v>
      </c>
      <c r="L29">
        <v>3912</v>
      </c>
    </row>
    <row r="30">
      <c r="B30">
        <v>16522</v>
      </c>
      <c r="D30">
        <v>24</v>
      </c>
      <c r="E30" t="str">
        <v>SOLO BOTTLE</v>
      </c>
      <c r="F30">
        <f>AVERAGE(XLOOKUP($B30,'AC and RGM only'!$K$1:$K$150,'AC and RGM only'!$N$1:$T$150))</f>
        <v>0.15142857142857144</v>
      </c>
      <c r="G30" cm="1">
        <f t="array" ref="G30">XLOOKUP($B30,VALUE('STOCK ON HAND'!$E$1:$E$150),'STOCK ON HAND'!$H$1:$H$150,0)/D30</f>
        <v>0.4583333333333333</v>
      </c>
      <c r="H30">
        <f>IF($F30=0,0,($G30*1/$F30))</f>
        <v>3.026729559748427</v>
      </c>
      <c r="I30">
        <f>SUMIFS('STOCK ON ORDER'!$L$1:$L$200,'STOCK ON ORDER'!$H$1:$H$200,VALUE($L30))</f>
        <v>2</v>
      </c>
      <c r="J30">
        <f>F30*13</f>
        <v>1.9685714285714286</v>
      </c>
      <c r="K30">
        <f>IF(H30&gt;13,0,IFERROR(MAX(0,J30-G30-I30),0))</f>
        <v>0</v>
      </c>
      <c r="L30">
        <v>2918</v>
      </c>
    </row>
    <row r="31">
      <c r="B31">
        <v>15735</v>
      </c>
      <c r="D31">
        <v>30</v>
      </c>
      <c r="E31" t="str">
        <v>SOLO CAN</v>
      </c>
      <c r="F31">
        <f>AVERAGE(XLOOKUP($B31,'AC and RGM only'!$K$1:$K$150,'AC and RGM only'!$N$1:$T$150))</f>
        <v>0.06142857142857144</v>
      </c>
      <c r="G31" cm="1">
        <f t="array" ref="G31">XLOOKUP($B31,VALUE('STOCK ON HAND'!$E$1:$E$150),'STOCK ON HAND'!$H$1:$H$150,0)/D31</f>
        <v>1.5</v>
      </c>
      <c r="H31">
        <f>IF($F31=0,0,($G31*1/$F31))</f>
        <v>24.418604651162788</v>
      </c>
      <c r="I31">
        <f>SUMIFS('STOCK ON ORDER'!$L$1:$L$200,'STOCK ON ORDER'!$H$1:$H$200,VALUE($L31))</f>
        <v>0</v>
      </c>
      <c r="J31">
        <f>F31*13</f>
        <v>0.7985714285714287</v>
      </c>
      <c r="K31">
        <f>IF(H31&gt;13,0,IFERROR(MAX(0,J31-G31-I31),0))</f>
        <v>0</v>
      </c>
      <c r="L31">
        <v>10004425</v>
      </c>
    </row>
    <row r="32">
      <c r="B32">
        <v>16525</v>
      </c>
      <c r="D32">
        <v>15</v>
      </c>
      <c r="E32" t="str">
        <v>SOLO BIB</v>
      </c>
      <c r="F32">
        <f>AVERAGE(XLOOKUP($B32,'AC and RGM only'!$K$1:$K$150,'AC and RGM only'!$N$1:$T$150))</f>
        <v>0.03571428571428571</v>
      </c>
      <c r="G32" cm="1">
        <f t="array" ref="G32">XLOOKUP($B32,VALUE('STOCK ON HAND'!$E$1:$E$150),'STOCK ON HAND'!$H$1:$H$150,0)/D32</f>
        <v>3.9733333333333336</v>
      </c>
      <c r="H32">
        <f>IF($F32=0,0,($G32*1/$F32))</f>
        <v>111.25333333333334</v>
      </c>
      <c r="I32">
        <f>SUMIFS('STOCK ON ORDER'!$L$1:$L$200,'STOCK ON ORDER'!$H$1:$H$200,VALUE($L32))</f>
        <v>0</v>
      </c>
      <c r="J32">
        <v>3</v>
      </c>
      <c r="K32">
        <f>IFERROR(MAX(0,J32-G32-I32),0)</f>
        <v>0</v>
      </c>
      <c r="L32">
        <v>4068</v>
      </c>
    </row>
    <row r="33">
      <c r="B33">
        <v>16523</v>
      </c>
      <c r="D33">
        <v>24</v>
      </c>
      <c r="E33" t="str">
        <v>SUNKIST BOTTLE</v>
      </c>
      <c r="F33">
        <f>AVERAGE(XLOOKUP($B33,'AC and RGM only'!$K$1:$K$150,'AC and RGM only'!$N$1:$T$150))</f>
        <v>0.07142857142857142</v>
      </c>
      <c r="G33" cm="1">
        <f t="array" ref="G33">XLOOKUP($B33,VALUE('STOCK ON HAND'!$E$1:$E$150),'STOCK ON HAND'!$H$1:$H$150,0)/D33</f>
        <v>0.7083333333333334</v>
      </c>
      <c r="H33">
        <f>IF($F33=0,0,($G33*1/$F33))</f>
        <v>9.916666666666668</v>
      </c>
      <c r="I33">
        <f>SUMIFS('STOCK ON ORDER'!$L$1:$L$200,'STOCK ON ORDER'!$H$1:$H$200,VALUE($L33))</f>
        <v>1</v>
      </c>
      <c r="J33">
        <f>F33*13</f>
        <v>0.9285714285714285</v>
      </c>
      <c r="K33">
        <f>IF(H33&gt;13,0,IFERROR(MAX(0,J33-G33-I33),0))</f>
        <v>0</v>
      </c>
      <c r="L33">
        <v>2938</v>
      </c>
    </row>
    <row r="34">
      <c r="B34">
        <v>15733</v>
      </c>
      <c r="D34">
        <v>30</v>
      </c>
      <c r="E34" t="str">
        <v xml:space="preserve">SUNKIST CAN </v>
      </c>
      <c r="F34">
        <f>AVERAGE(XLOOKUP($B34,'AC and RGM only'!$K$1:$K$150,'AC and RGM only'!$N$1:$T$150))</f>
        <v>0.06142857142857144</v>
      </c>
      <c r="G34" cm="1">
        <f t="array" ref="G34">XLOOKUP($B34,VALUE('STOCK ON HAND'!$E$1:$E$150),'STOCK ON HAND'!$H$1:$H$150,0)/D34</f>
        <v>1.2333333333333334</v>
      </c>
      <c r="H34">
        <f>IF($F34=0,0,($G34*1/$F34))</f>
        <v>20.077519379844958</v>
      </c>
      <c r="I34">
        <f>SUMIFS('STOCK ON ORDER'!$L$1:$L$200,'STOCK ON ORDER'!$H$1:$H$200,VALUE($L34))</f>
        <v>0</v>
      </c>
      <c r="J34">
        <f>F34*13</f>
        <v>0.7985714285714287</v>
      </c>
      <c r="K34">
        <f>IF(H34&gt;13,0,IFERROR(MAX(0,J34-G34-I34),0))</f>
        <v>0</v>
      </c>
      <c r="L34">
        <v>10006573</v>
      </c>
    </row>
    <row r="35">
      <c r="B35">
        <v>16524</v>
      </c>
      <c r="D35">
        <v>15</v>
      </c>
      <c r="E35" t="str">
        <v>SUNKIST BIB</v>
      </c>
      <c r="F35">
        <f>AVERAGE(XLOOKUP($B35,'AC and RGM only'!$K$1:$K$150,'AC and RGM only'!$N$1:$T$150))</f>
        <v>0.027142857142857146</v>
      </c>
      <c r="G35" cm="1">
        <f t="array" ref="G35">XLOOKUP($B35,VALUE('STOCK ON HAND'!$E$1:$E$150),'STOCK ON HAND'!$H$1:$H$150,0)/D35</f>
        <v>3.7826666666666666</v>
      </c>
      <c r="H35">
        <f>IF($F35=0,0,($G35*1/$F35))</f>
        <v>139.3614035087719</v>
      </c>
      <c r="I35">
        <f>SUMIFS('STOCK ON ORDER'!$L$1:$L$200,'STOCK ON ORDER'!$H$1:$H$200,VALUE($L35))</f>
        <v>0</v>
      </c>
      <c r="J35">
        <v>3</v>
      </c>
      <c r="K35">
        <f>IFERROR(MAX(0,J35-G35-I35),0)</f>
        <v>0</v>
      </c>
      <c r="L35">
        <v>4075</v>
      </c>
    </row>
    <row r="36">
      <c r="B36">
        <v>13839</v>
      </c>
      <c r="D36">
        <v>24</v>
      </c>
      <c r="E36" t="str">
        <v>WATER</v>
      </c>
      <c r="F36">
        <f>AVERAGE(XLOOKUP($B36,'AC and RGM only'!$K$1:$K$150,'AC and RGM only'!$N$1:$T$150))</f>
        <v>0.26857142857142857</v>
      </c>
      <c r="G36" cm="1">
        <f t="array" ref="G36">XLOOKUP($B36,VALUE('STOCK ON HAND'!$E$1:$E$150),'STOCK ON HAND'!$H$1:$H$150,0)/D36</f>
        <v>1.875</v>
      </c>
      <c r="H36">
        <f>IF($F36=0,0,($G36*1/$F36))</f>
        <v>6.9813829787234045</v>
      </c>
      <c r="I36">
        <f>SUMIFS('STOCK ON ORDER'!$L$1:$L$200,'STOCK ON ORDER'!$H$1:$H$200,VALUE($L36))</f>
        <v>2</v>
      </c>
      <c r="J36">
        <f>F36*13</f>
        <v>3.4914285714285715</v>
      </c>
      <c r="K36">
        <f>IF(H36&gt;13,0,IFERROR(MAX(0,J36-G36-I36),0))</f>
        <v>0</v>
      </c>
      <c r="L36">
        <v>10006282</v>
      </c>
    </row>
  </sheetData>
  <mergeCells count="3">
    <mergeCell ref="E2:K3"/>
    <mergeCell ref="B3:B5"/>
    <mergeCell ref="L2:M5"/>
  </mergeCells>
  <pageMargins left="0.7" right="0.7" top="0.75" bottom="0.75" header="0.3" footer="0.3"/>
  <ignoredErrors>
    <ignoredError numberStoredAsText="1" sqref="A1:M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 rightToLeft="0"/>
  </sheetViews>
  <sheetData>
    <row r="2">
      <c r="E2" t="str">
        <v>SCHWEPPES BUILD-TO GUIDE</v>
      </c>
      <c r="L2" t="str">
        <v>MMX item codes</v>
      </c>
    </row>
    <row r="3">
      <c r="B3" t="str">
        <v>ORDER FORM CODE</v>
      </c>
    </row>
    <row r="5">
      <c r="D5" t="str">
        <v>PER PACK</v>
      </c>
      <c r="E5" t="str">
        <v>ITEM</v>
      </c>
      <c r="F5" t="str">
        <v>1 DAY USAGE</v>
      </c>
      <c r="G5" t="str">
        <v>ON HAND</v>
      </c>
      <c r="H5" t="str">
        <v>DAYS HOLDING</v>
      </c>
      <c r="I5" t="str">
        <v>ON ORDER</v>
      </c>
      <c r="J5" t="str">
        <v>10 DAY BUILD TO</v>
      </c>
      <c r="K5" t="str">
        <v>NEED</v>
      </c>
    </row>
    <row r="6">
      <c r="D6">
        <v>2</v>
      </c>
      <c r="E6" t="str">
        <v>SOUR CREAM 2KG</v>
      </c>
      <c r="L6">
        <v>8418</v>
      </c>
    </row>
    <row r="7">
      <c r="B7">
        <v>12945</v>
      </c>
      <c r="D7">
        <v>5</v>
      </c>
      <c r="E7" t="str">
        <v>SOUR CREAM 5KG</v>
      </c>
      <c r="F7">
        <f>AVERAGE(XLOOKUP($B7,'AC and RGM only'!$K$1:$K$150,'AC and RGM only'!$N$1:$T$150))</f>
        <v>1.0085714285714287</v>
      </c>
      <c r="G7" cm="1">
        <f t="array" ref="G7">XLOOKUP($B7,VALUE('STOCK ON HAND'!$E$1:$E$150),'STOCK ON HAND'!$H$1:$H$150,0)/D7</f>
        <v>6.364</v>
      </c>
      <c r="H7">
        <f>IF($F7=0,0,($G7*1/$F7))</f>
        <v>6.3099150141643054</v>
      </c>
      <c r="I7">
        <f>SUMIFS('STOCK ON ORDER'!$L$1:$L$200,'STOCK ON ORDER'!$H$1:$H$200,VALUE($L7))</f>
        <v>3</v>
      </c>
      <c r="J7">
        <f>F7*10</f>
        <v>10.085714285714287</v>
      </c>
      <c r="K7">
        <f>IF(H7&gt;10,0,IFERROR(MAX(0,J7-G7-I7),0))</f>
        <v>0.7217142857142873</v>
      </c>
      <c r="L7">
        <v>8419</v>
      </c>
    </row>
    <row r="8">
      <c r="B8">
        <v>38239</v>
      </c>
      <c r="D8">
        <v>1</v>
      </c>
      <c r="E8" t="str">
        <v>DARE ICED COFFEE</v>
      </c>
      <c r="F8">
        <f>AVERAGE(XLOOKUP($B8,'AC and RGM only'!$K$1:$K$150,'AC and RGM only'!$N$1:$T$150))</f>
        <v>1.5714285714285714</v>
      </c>
      <c r="G8" cm="1">
        <f t="array" ref="G8">XLOOKUP($B8,VALUE('STOCK ON HAND'!$E$1:$E$150),'STOCK ON HAND'!$H$1:$H$150,0)/D8</f>
        <v>7</v>
      </c>
      <c r="H8">
        <f>IF($F8=0,0,($G8*1/$F8))</f>
        <v>4.454545454545455</v>
      </c>
      <c r="I8">
        <f>SUMIFS('STOCK ON ORDER'!$L$1:$L$200,'STOCK ON ORDER'!$H$1:$H$200,VALUE($L8))</f>
        <v>6</v>
      </c>
      <c r="J8">
        <f>F8*10</f>
        <v>15.714285714285714</v>
      </c>
      <c r="K8">
        <f>IF(H8&gt;10,0,IFERROR(MAX(0,J8-G8-I8),0))</f>
        <v>2.7142857142857135</v>
      </c>
      <c r="L8">
        <v>7769</v>
      </c>
    </row>
  </sheetData>
  <mergeCells count="3">
    <mergeCell ref="E2:K3"/>
    <mergeCell ref="L2:M5"/>
    <mergeCell ref="B3:B5"/>
  </mergeCells>
  <pageMargins left="0.7" right="0.7" top="0.75" bottom="0.75" header="0.3" footer="0.3"/>
  <ignoredErrors>
    <ignoredError numberStoredAsText="1" sqref="A1:M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38"/>
  <sheetViews>
    <sheetView workbookViewId="0" rightToLeft="0"/>
  </sheetViews>
  <sheetData>
    <row r="2">
      <c r="E2" t="str">
        <v>CUT FRESH BUILD-TO GUIDE</v>
      </c>
      <c r="L2" t="str">
        <v>MMX item codes</v>
      </c>
    </row>
    <row r="3">
      <c r="B3" t="str">
        <v>ORDER FORM CODE</v>
      </c>
    </row>
    <row r="5">
      <c r="D5" t="str">
        <v>PER PACK</v>
      </c>
      <c r="E5" t="str">
        <v>ITEM</v>
      </c>
      <c r="F5" t="str">
        <v>1 DAY USAGE</v>
      </c>
      <c r="G5" t="str">
        <v>ON HAND</v>
      </c>
      <c r="H5" t="str">
        <v>DAYS HOLDING</v>
      </c>
      <c r="I5" t="str">
        <v>ON ORDER</v>
      </c>
      <c r="J5" t="str">
        <v>BUILD TO</v>
      </c>
      <c r="K5" t="str">
        <v>NEED</v>
      </c>
      <c r="O5" t="str">
        <v>Buffer</v>
      </c>
    </row>
    <row r="6" xml:space="preserve">
      <c r="B6">
        <v>13016</v>
      </c>
      <c r="D6">
        <v>8</v>
      </c>
      <c r="E6" t="str">
        <v>LETTUCE</v>
      </c>
      <c r="F6">
        <f>AVERAGE(XLOOKUP($B6,'AC and RGM only'!$K$1:$K$150,'AC and RGM only'!$N$1:$T$150))</f>
        <v>0.8957142857142858</v>
      </c>
      <c r="G6" cm="1">
        <f t="array" ref="G6">XLOOKUP($B6,VALUE('STOCK ON HAND'!$E$1:$E$150),'STOCK ON HAND'!$H$1:$H$150,0)/D6</f>
        <v>3.95625</v>
      </c>
      <c r="H6">
        <f>IF($F6=0,0,($G6*1/$F6))</f>
        <v>4.416866028708133</v>
      </c>
      <c r="I6">
        <f>SUMIFS('STOCK ON ORDER'!$L$1:$L$200,'STOCK ON ORDER'!$H$1:$H$200,$L6)</f>
        <v>5</v>
      </c>
      <c r="J6" xml:space="preserve">
        <f xml:space="preserve">IF($G$32="MONDAY",E21,
 IF($G$32="TUESDAY",E27,
 IF($G$32="WEDNESDAY",H21,
 IF($G$32="THURSDAY",H27,
 IF($G$32="SATURDAY",K21,
 IF($G$32="SUNDAY",K27,0))))))</f>
        <v>9</v>
      </c>
      <c r="K6">
        <f>IF(H6&gt;10,0,IFERROR(MAX(0,J6-G6-I6),0))</f>
        <v>0.04375000000000018</v>
      </c>
      <c r="L6" t="str">
        <v>SLETT</v>
      </c>
      <c r="O6">
        <v>2</v>
      </c>
    </row>
    <row r="7" xml:space="preserve">
      <c r="B7">
        <v>15659</v>
      </c>
      <c r="D7">
        <v>4</v>
      </c>
      <c r="E7" t="str">
        <v>ONION</v>
      </c>
      <c r="F7">
        <f>AVERAGE(XLOOKUP($B7,'AC and RGM only'!$K$1:$K$150,'AC and RGM only'!$N$1:$T$150))</f>
        <v>0.2814285714285715</v>
      </c>
      <c r="G7" cm="1">
        <f t="array" ref="G7">XLOOKUP($B7,VALUE('STOCK ON HAND'!$E$1:$E$150),'STOCK ON HAND'!$H$1:$H$150,0)/D7</f>
        <v>1.2525</v>
      </c>
      <c r="H7">
        <f>IF($F7=0,0,($G7*1/$F7))</f>
        <v>4.450507614213197</v>
      </c>
      <c r="I7">
        <f>SUMIFS('STOCK ON ORDER'!$L$1:$L$200,'STOCK ON ORDER'!$H$1:$H$200,$L7)</f>
        <v>1</v>
      </c>
      <c r="J7" xml:space="preserve">
        <f xml:space="preserve">IF($G$32="MONDAY",E22,
 IF($G$32="TUESDAY",E28,
 IF($G$32="WEDNESDAY",H22,
 IF($G$32="THURSDAY",H28,
 IF($G$32="SATURDAY",K22,
 IF($G$32="SUNDAY",K28,0))))))</f>
        <v>1.9700000000000002</v>
      </c>
      <c r="K7">
        <f>IF(H7&gt;10,0,IFERROR(MAX(0,J7-G7-I7),0))</f>
        <v>0</v>
      </c>
      <c r="L7" t="str">
        <v>DO4</v>
      </c>
    </row>
    <row r="8" xml:space="preserve">
      <c r="B8">
        <v>38670</v>
      </c>
      <c r="D8">
        <v>0.5</v>
      </c>
      <c r="E8" t="str">
        <v>CORIANDER</v>
      </c>
      <c r="F8">
        <f>AVERAGE(XLOOKUP($B8,'AC and RGM only'!$K$1:$K$150,'AC and RGM only'!$N$1:$T$150))</f>
        <v>0.3385714285714286</v>
      </c>
      <c r="G8" cm="1">
        <f t="array" ref="G8">XLOOKUP($B8,VALUE('STOCK ON HAND'!$E$1:$E$150),'STOCK ON HAND'!$H$1:$H$150,0)/D8</f>
        <v>0.26</v>
      </c>
      <c r="H8">
        <f>IF($F8=0,0,($G8*1/$F8))</f>
        <v>0.7679324894514769</v>
      </c>
      <c r="I8">
        <f>SUMIFS('STOCK ON ORDER'!$L$1:$L$200,'STOCK ON ORDER'!$H$1:$H$200,$L8)</f>
        <v>1</v>
      </c>
      <c r="J8" xml:space="preserve">
        <f xml:space="preserve">IF($G$32="MONDAY",E23,
 IF($G$32="TUESDAY",E29,
 IF($G$32="WEDNESDAY",H23,
 IF($G$32="THURSDAY",H29,
 IF($G$32="SATURDAY",K23,
 IF($G$32="SUNDAY",K29,0))))))</f>
        <v>2.37</v>
      </c>
      <c r="K8">
        <f>IF(H8&gt;10,0,IFERROR(MAX(0,J8-G8-I8),0))</f>
        <v>1.1100000000000003</v>
      </c>
      <c r="L8" t="str">
        <v>CHOPC</v>
      </c>
    </row>
    <row r="9" xml:space="preserve">
      <c r="B9">
        <v>15112</v>
      </c>
      <c r="D9">
        <v>4</v>
      </c>
      <c r="E9" t="str">
        <v>TOMATO</v>
      </c>
      <c r="F9">
        <f>AVERAGE(XLOOKUP($B9,'AC and RGM only'!$K$1:$K$150,'AC and RGM only'!$N$1:$T$150))</f>
        <v>1.2214285714285715</v>
      </c>
      <c r="G9" cm="1">
        <f t="array" ref="G9">XLOOKUP($B9,VALUE('STOCK ON HAND'!$E$1:$E$150),'STOCK ON HAND'!$H$1:$H$150,0)/D9</f>
        <v>1.65</v>
      </c>
      <c r="H9">
        <f>IF($F9=0,0,($G9*1/$F9))</f>
        <v>1.350877192982456</v>
      </c>
      <c r="I9">
        <f>SUMIFS('STOCK ON ORDER'!$L$1:$L$200,'STOCK ON ORDER'!$H$1:$H$200,$L9)</f>
        <v>6</v>
      </c>
      <c r="J9" xml:space="preserve">
        <f xml:space="preserve">IF($G$32="MONDAY",E24,
 IF($G$32="TUESDAY",E30,
 IF($G$32="WEDNESDAY",H24,
 IF($G$32="THURSDAY",H30,
 IF($G$32="SATURDAY",K24,
 IF($G$32="SUNDAY",K30,0))))))</f>
        <v>9</v>
      </c>
      <c r="K9">
        <f>IF(H9&gt;10,0,IFERROR(MAX(0,J9-G9-I9),0))</f>
        <v>1.3499999999999996</v>
      </c>
      <c r="L9" t="str">
        <v>DTOM4</v>
      </c>
    </row>
    <row r="12">
      <c r="E12" t="str">
        <v>Monday</v>
      </c>
      <c r="F12" t="str">
        <v>Tuesday</v>
      </c>
      <c r="G12" t="str">
        <v>Wednesday</v>
      </c>
      <c r="H12" t="str">
        <v>Thursday</v>
      </c>
      <c r="I12" t="str">
        <v>Friday</v>
      </c>
      <c r="J12" t="str">
        <v>Saturday</v>
      </c>
      <c r="K12" t="str">
        <v>Sunday</v>
      </c>
    </row>
    <row r="13">
      <c r="B13">
        <v>13016</v>
      </c>
      <c r="D13" t="str">
        <v>LETTUCE</v>
      </c>
      <c r="E13" cm="1">
        <f t="array" ref="E13">INDEX('AC and RGM only'!$N:$T, MATCH(TRUE, ISNUMBER(SEARCH($D13, 'AC and RGM only'!$L:$L)), 0), MATCH(TRUE, ISNUMBER(SEARCH(E$12, 'AC and RGM only'!$D$2:$J$2)), 0))</f>
        <v>0.65</v>
      </c>
      <c r="F13" cm="1">
        <f t="array" ref="F13">INDEX('AC and RGM only'!$N:$T, MATCH(TRUE, ISNUMBER(SEARCH($D13, 'AC and RGM only'!$L:$L)), 0), MATCH(TRUE, ISNUMBER(SEARCH(F$12, 'AC and RGM only'!$D$2:$J$2)), 0))</f>
        <v>0.63</v>
      </c>
      <c r="G13" cm="1">
        <f t="array" ref="G13">INDEX('AC and RGM only'!$N:$T, MATCH(TRUE, ISNUMBER(SEARCH($D13, 'AC and RGM only'!$L:$L)), 0), MATCH(TRUE, ISNUMBER(SEARCH(G$12, 'AC and RGM only'!$D$2:$J$2)), 0))</f>
        <v>0.85</v>
      </c>
      <c r="H13" cm="1">
        <f t="array" ref="H13">INDEX('AC and RGM only'!$N:$T, MATCH(TRUE, ISNUMBER(SEARCH($D13, 'AC and RGM only'!$L:$L)), 0), MATCH(TRUE, ISNUMBER(SEARCH(H$12, 'AC and RGM only'!$D$2:$J$2)), 0))</f>
        <v>0.81</v>
      </c>
      <c r="I13" cm="1">
        <f t="array" ref="I13">INDEX('AC and RGM only'!$N:$T, MATCH(TRUE, ISNUMBER(SEARCH($D13, 'AC and RGM only'!$L:$L)), 0), MATCH(TRUE, ISNUMBER(SEARCH(I$12, 'AC and RGM only'!$D$2:$J$2)), 0))</f>
        <v>1.09</v>
      </c>
      <c r="J13" cm="1">
        <f t="array" ref="J13">INDEX('AC and RGM only'!$N:$T, MATCH(TRUE, ISNUMBER(SEARCH($D13, 'AC and RGM only'!$L:$L)), 0), MATCH(TRUE, ISNUMBER(SEARCH(J$12, 'AC and RGM only'!$D$2:$J$2)), 0))</f>
        <v>1.17</v>
      </c>
      <c r="K13" cm="1">
        <f t="array" ref="K13">INDEX('AC and RGM only'!$N:$T, MATCH(TRUE, ISNUMBER(SEARCH($D13, 'AC and RGM only'!$L:$L)), 0), MATCH(TRUE, ISNUMBER(SEARCH(K$12, 'AC and RGM only'!$D$2:$J$2)), 0))</f>
        <v>1.07</v>
      </c>
    </row>
    <row r="14">
      <c r="B14">
        <v>15659</v>
      </c>
      <c r="D14" t="str">
        <v>ONION</v>
      </c>
      <c r="E14" cm="1">
        <f t="array" ref="E14">INDEX('AC and RGM only'!$N:$T, MATCH(TRUE, ISNUMBER(SEARCH($D14, 'AC and RGM only'!$L:$L)), 0), MATCH(TRUE, ISNUMBER(SEARCH(E$12, 'AC and RGM only'!$D$2:$J$2)), 0))</f>
        <v>0.19</v>
      </c>
      <c r="F14" cm="1">
        <f t="array" ref="F14">INDEX('AC and RGM only'!$N:$T, MATCH(TRUE, ISNUMBER(SEARCH($D14, 'AC and RGM only'!$L:$L)), 0), MATCH(TRUE, ISNUMBER(SEARCH(F$12, 'AC and RGM only'!$D$2:$J$2)), 0))</f>
        <v>0.28</v>
      </c>
      <c r="G14" cm="1">
        <f t="array" ref="G14">INDEX('AC and RGM only'!$N:$T, MATCH(TRUE, ISNUMBER(SEARCH($D14, 'AC and RGM only'!$L:$L)), 0), MATCH(TRUE, ISNUMBER(SEARCH(G$12, 'AC and RGM only'!$D$2:$J$2)), 0))</f>
        <v>0.25</v>
      </c>
      <c r="H14" cm="1">
        <f t="array" ref="H14">INDEX('AC and RGM only'!$N:$T, MATCH(TRUE, ISNUMBER(SEARCH($D14, 'AC and RGM only'!$L:$L)), 0), MATCH(TRUE, ISNUMBER(SEARCH(H$12, 'AC and RGM only'!$D$2:$J$2)), 0))</f>
        <v>0.25</v>
      </c>
      <c r="I14" cm="1">
        <f t="array" ref="I14">INDEX('AC and RGM only'!$N:$T, MATCH(TRUE, ISNUMBER(SEARCH($D14, 'AC and RGM only'!$L:$L)), 0), MATCH(TRUE, ISNUMBER(SEARCH(I$12, 'AC and RGM only'!$D$2:$J$2)), 0))</f>
        <v>0.38</v>
      </c>
      <c r="J14" cm="1">
        <f t="array" ref="J14">INDEX('AC and RGM only'!$N:$T, MATCH(TRUE, ISNUMBER(SEARCH($D14, 'AC and RGM only'!$L:$L)), 0), MATCH(TRUE, ISNUMBER(SEARCH(J$12, 'AC and RGM only'!$D$2:$J$2)), 0))</f>
        <v>0.33</v>
      </c>
      <c r="K14" cm="1">
        <f t="array" ref="K14">INDEX('AC and RGM only'!$N:$T, MATCH(TRUE, ISNUMBER(SEARCH($D14, 'AC and RGM only'!$L:$L)), 0), MATCH(TRUE, ISNUMBER(SEARCH(K$12, 'AC and RGM only'!$D$2:$J$2)), 0))</f>
        <v>0.29</v>
      </c>
    </row>
    <row r="15">
      <c r="B15">
        <v>38670</v>
      </c>
      <c r="D15" t="str">
        <v>CORIANDER</v>
      </c>
      <c r="E15" cm="1">
        <f t="array" ref="E15">INDEX('AC and RGM only'!$N:$T, MATCH(TRUE, ISNUMBER(SEARCH($D15, 'AC and RGM only'!$L:$L)), 0), MATCH(TRUE, ISNUMBER(SEARCH(E$12, 'AC and RGM only'!$D$2:$J$2)), 0))</f>
        <v>0.23</v>
      </c>
      <c r="F15" cm="1">
        <f t="array" ref="F15">INDEX('AC and RGM only'!$N:$T, MATCH(TRUE, ISNUMBER(SEARCH($D15, 'AC and RGM only'!$L:$L)), 0), MATCH(TRUE, ISNUMBER(SEARCH(F$12, 'AC and RGM only'!$D$2:$J$2)), 0))</f>
        <v>0.33</v>
      </c>
      <c r="G15" cm="1">
        <f t="array" ref="G15">INDEX('AC and RGM only'!$N:$T, MATCH(TRUE, ISNUMBER(SEARCH($D15, 'AC and RGM only'!$L:$L)), 0), MATCH(TRUE, ISNUMBER(SEARCH(G$12, 'AC and RGM only'!$D$2:$J$2)), 0))</f>
        <v>0.3</v>
      </c>
      <c r="H15" cm="1">
        <f t="array" ref="H15">INDEX('AC and RGM only'!$N:$T, MATCH(TRUE, ISNUMBER(SEARCH($D15, 'AC and RGM only'!$L:$L)), 0), MATCH(TRUE, ISNUMBER(SEARCH(H$12, 'AC and RGM only'!$D$2:$J$2)), 0))</f>
        <v>0.3</v>
      </c>
      <c r="I15" cm="1">
        <f t="array" ref="I15">INDEX('AC and RGM only'!$N:$T, MATCH(TRUE, ISNUMBER(SEARCH($D15, 'AC and RGM only'!$L:$L)), 0), MATCH(TRUE, ISNUMBER(SEARCH(I$12, 'AC and RGM only'!$D$2:$J$2)), 0))</f>
        <v>0.46</v>
      </c>
      <c r="J15" cm="1">
        <f t="array" ref="J15">INDEX('AC and RGM only'!$N:$T, MATCH(TRUE, ISNUMBER(SEARCH($D15, 'AC and RGM only'!$L:$L)), 0), MATCH(TRUE, ISNUMBER(SEARCH(J$12, 'AC and RGM only'!$D$2:$J$2)), 0))</f>
        <v>0.4</v>
      </c>
      <c r="K15" cm="1">
        <f t="array" ref="K15">INDEX('AC and RGM only'!$N:$T, MATCH(TRUE, ISNUMBER(SEARCH($D15, 'AC and RGM only'!$L:$L)), 0), MATCH(TRUE, ISNUMBER(SEARCH(K$12, 'AC and RGM only'!$D$2:$J$2)), 0))</f>
        <v>0.35</v>
      </c>
    </row>
    <row r="16" xml:space="preserve">
      <c r="B16">
        <v>15112</v>
      </c>
      <c r="D16" t="str">
        <v>TOMATO DICED</v>
      </c>
      <c r="E16" cm="1" xml:space="preserve">
        <f t="array" ref="E16" xml:space="preserve">INDEX('AC and RGM only'!$N:$T,
   SMALL(IF(ISNUMBER(SEARCH($D16, 'AC and RGM only'!$L:$L)), ROW('AC and RGM only'!$L:$L)), 2),
   MATCH(TRUE, ISNUMBER(SEARCH(E12, 'AC and RGM only'!$D$2:$J$2)), 0)
)</f>
        <v>0.93</v>
      </c>
      <c r="F16" cm="1" xml:space="preserve">
        <f t="array" ref="F16" xml:space="preserve">INDEX('AC and RGM only'!$N:$T,
   SMALL(IF(ISNUMBER(SEARCH($D16, 'AC and RGM only'!$L:$L)), ROW('AC and RGM only'!$L:$L)), 2),
   MATCH(TRUE, ISNUMBER(SEARCH(F12, 'AC and RGM only'!$D$2:$J$2)), 0)
)</f>
        <v>0.95</v>
      </c>
      <c r="G16" cm="1" xml:space="preserve">
        <f t="array" ref="G16" xml:space="preserve">INDEX('AC and RGM only'!$N:$T,
   SMALL(IF(ISNUMBER(SEARCH($D16, 'AC and RGM only'!$L:$L)), ROW('AC and RGM only'!$L:$L)), 2),
   MATCH(TRUE, ISNUMBER(SEARCH(G12, 'AC and RGM only'!$D$2:$J$2)), 0)
)</f>
        <v>1.12</v>
      </c>
      <c r="H16" cm="1" xml:space="preserve">
        <f t="array" ref="H16" xml:space="preserve">INDEX('AC and RGM only'!$N:$T,
   SMALL(IF(ISNUMBER(SEARCH($D16, 'AC and RGM only'!$L:$L)), ROW('AC and RGM only'!$L:$L)), 2),
   MATCH(TRUE, ISNUMBER(SEARCH(H12, 'AC and RGM only'!$D$2:$J$2)), 0)
)</f>
        <v>1.12</v>
      </c>
      <c r="I16" cm="1" xml:space="preserve">
        <f t="array" ref="I16" xml:space="preserve">INDEX('AC and RGM only'!$N:$T,
   SMALL(IF(ISNUMBER(SEARCH($D16, 'AC and RGM only'!$L:$L)), ROW('AC and RGM only'!$L:$L)), 2),
   MATCH(TRUE, ISNUMBER(SEARCH(I12, 'AC and RGM only'!$D$2:$J$2)), 0)
)</f>
        <v>1.47</v>
      </c>
      <c r="J16" cm="1" xml:space="preserve">
        <f t="array" ref="J16" xml:space="preserve">INDEX('AC and RGM only'!$N:$T,
   SMALL(IF(ISNUMBER(SEARCH($D16, 'AC and RGM only'!$L:$L)), ROW('AC and RGM only'!$L:$L)), 2),
   MATCH(TRUE, ISNUMBER(SEARCH(J12, 'AC and RGM only'!$D$2:$J$2)), 0)
)</f>
        <v>1.55</v>
      </c>
      <c r="K16" cm="1" xml:space="preserve">
        <f t="array" ref="K16" xml:space="preserve">INDEX('AC and RGM only'!$N:$T,
   SMALL(IF(ISNUMBER(SEARCH($D16, 'AC and RGM only'!$L:$L)), ROW('AC and RGM only'!$L:$L)), 2),
   MATCH(TRUE, ISNUMBER(SEARCH(K12, 'AC and RGM only'!$D$2:$J$2)), 0)
)</f>
        <v>1.41</v>
      </c>
    </row>
    <row r="18">
      <c r="G18" t="str">
        <v>TODAY IS:</v>
      </c>
      <c r="H18" t="str">
        <f>TEXT(TODAY(), "dddd")</f>
        <v>Thursday</v>
      </c>
    </row>
    <row r="20">
      <c r="D20" t="str">
        <v>MONDAY</v>
      </c>
      <c r="G20" t="str">
        <v>WEDNESDAY</v>
      </c>
      <c r="J20" t="str">
        <v>SATURDAY</v>
      </c>
    </row>
    <row r="21">
      <c r="D21" t="str">
        <v>LETTUCE</v>
      </c>
      <c r="E21">
        <f>ROUNDUP(SUM(E13:J13),0)+O6</f>
        <v>8</v>
      </c>
      <c r="G21" t="str">
        <v>LETTUCE</v>
      </c>
      <c r="H21">
        <f>ROUNDUP(SUM(E13:K13),0)+O6</f>
        <v>9</v>
      </c>
      <c r="J21" t="str">
        <v>LETTUCE</v>
      </c>
      <c r="K21">
        <f>ROUNDUP(SUM(E13:K13)-I13,0)+O6</f>
        <v>8</v>
      </c>
    </row>
    <row r="22">
      <c r="D22" t="str">
        <v>ONION</v>
      </c>
      <c r="E22">
        <f>SUM(E14:J14)</f>
        <v>1.6800000000000002</v>
      </c>
      <c r="G22" t="str">
        <v>ONION</v>
      </c>
      <c r="H22">
        <f>SUM(E14:K14)</f>
        <v>1.9700000000000002</v>
      </c>
      <c r="J22" t="str">
        <v>ONION</v>
      </c>
      <c r="K22">
        <f>SUM(E14:K14)-I14</f>
        <v>1.5900000000000003</v>
      </c>
    </row>
    <row r="23">
      <c r="D23" t="str">
        <v>CORIANDER</v>
      </c>
      <c r="E23">
        <f>SUM(E15:J15)</f>
        <v>2.02</v>
      </c>
      <c r="G23" t="str">
        <v>CORIANDER</v>
      </c>
      <c r="H23">
        <f>SUM(E15:K15)</f>
        <v>2.37</v>
      </c>
      <c r="J23" t="str">
        <v>CORIANDER</v>
      </c>
      <c r="K23">
        <f>SUM(E15:K15)-I15</f>
        <v>1.9100000000000001</v>
      </c>
    </row>
    <row r="24">
      <c r="D24" t="str">
        <v xml:space="preserve">TOMATO </v>
      </c>
      <c r="E24">
        <f>ROUNDUP(SUM(E16:J16),0)</f>
        <v>8</v>
      </c>
      <c r="G24" t="str">
        <v xml:space="preserve">TOMATO </v>
      </c>
      <c r="H24">
        <f>ROUNDUP(SUM(E16:K16),0)</f>
        <v>9</v>
      </c>
      <c r="J24" t="str">
        <v xml:space="preserve">TOMATO </v>
      </c>
      <c r="K24">
        <f>ROUNDUP(SUM(E16:K16)-I16,0)</f>
        <v>8</v>
      </c>
    </row>
    <row r="26">
      <c r="D26" t="str">
        <v>THUESDAY</v>
      </c>
      <c r="G26" t="str">
        <v>THURSDAY</v>
      </c>
      <c r="J26" t="str">
        <v>SUNDAY</v>
      </c>
    </row>
    <row r="27">
      <c r="D27" t="str">
        <v>LETTUCE</v>
      </c>
      <c r="E27">
        <f>ROUNDUP(SUM(E13:K13),0)+O6</f>
        <v>9</v>
      </c>
      <c r="G27" t="str">
        <v>LETTUCE</v>
      </c>
      <c r="H27">
        <f>ROUNDUP(SUM(E13:K13),0)+O6</f>
        <v>9</v>
      </c>
      <c r="J27" t="str">
        <v>LETTUCE</v>
      </c>
      <c r="K27">
        <f>ROUNDUP(SUM(E13:I13)+K13,0)+O6</f>
        <v>8</v>
      </c>
    </row>
    <row r="28">
      <c r="D28" t="str">
        <v>ONION</v>
      </c>
      <c r="E28">
        <f>SUM(E14:K14)</f>
        <v>1.9700000000000002</v>
      </c>
      <c r="G28" t="str">
        <v>ONION</v>
      </c>
      <c r="H28">
        <f>SUM(E14:K14)</f>
        <v>1.9700000000000002</v>
      </c>
      <c r="J28" t="str">
        <v>ONION</v>
      </c>
      <c r="K28">
        <f>SUM(E14:I14)+K14</f>
        <v>1.6400000000000001</v>
      </c>
    </row>
    <row r="29">
      <c r="D29" t="str">
        <v>CORIANDER</v>
      </c>
      <c r="E29">
        <f>SUM(E15:K15)</f>
        <v>2.37</v>
      </c>
      <c r="G29" t="str">
        <v>CORIANDER</v>
      </c>
      <c r="H29">
        <f>SUM(E15:K15)</f>
        <v>2.37</v>
      </c>
      <c r="J29" t="str">
        <v>CORIANDER</v>
      </c>
      <c r="K29">
        <f>SUM(E15:I15)+K15</f>
        <v>1.9700000000000002</v>
      </c>
    </row>
    <row r="30">
      <c r="D30" t="str">
        <v xml:space="preserve">TOMATO </v>
      </c>
      <c r="E30">
        <f>ROUNDUP(SUM(E16:K16),0)</f>
        <v>9</v>
      </c>
      <c r="G30" t="str">
        <v xml:space="preserve">TOMATO </v>
      </c>
      <c r="H30">
        <f>ROUNDUP(SUM(E16:K16),0)</f>
        <v>9</v>
      </c>
      <c r="J30" t="str">
        <v xml:space="preserve">TOMATO </v>
      </c>
      <c r="K30">
        <f>ROUNDUP(SUM(E16:I16)+K16,0)</f>
        <v>7</v>
      </c>
    </row>
    <row r="31">
      <c r="G31" t="str">
        <v>WHAT DAY IS TODAY:</v>
      </c>
    </row>
    <row r="32">
      <c r="G32" t="str">
        <f>H18</f>
        <v>Thursday</v>
      </c>
    </row>
    <row r="33">
      <c r="G33" t="str">
        <v>Can be overwritten, to set it back to automatic enter =H18</v>
      </c>
    </row>
    <row r="35">
      <c r="G35" t="str">
        <v>MON | WED | FRI DELIVERY</v>
      </c>
    </row>
    <row r="37">
      <c r="H37" t="str">
        <v>MON | WED | FRI DELIVERY</v>
      </c>
    </row>
    <row r="38">
      <c r="H38" t="str">
        <v>TUE | THU | SAT DELIVERY</v>
      </c>
    </row>
  </sheetData>
  <mergeCells count="13">
    <mergeCell ref="L2:M5"/>
    <mergeCell ref="B3:B5"/>
    <mergeCell ref="G35:I36"/>
    <mergeCell ref="J20:K20"/>
    <mergeCell ref="D26:E26"/>
    <mergeCell ref="G26:H26"/>
    <mergeCell ref="J26:K26"/>
    <mergeCell ref="E2:K3"/>
    <mergeCell ref="G32:I32"/>
    <mergeCell ref="G33:I33"/>
    <mergeCell ref="G31:I31"/>
    <mergeCell ref="D20:E20"/>
    <mergeCell ref="G20:H20"/>
  </mergeCells>
  <pageMargins left="0.7" right="0.7" top="0.75" bottom="0.75" header="0.3" footer="0.3"/>
  <ignoredErrors>
    <ignoredError numberStoredAsText="1" sqref="A1:O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 rightToLeft="0"/>
  </sheetViews>
  <sheetData>
    <row r="1">
      <c r="A1" t="str">
        <v>TBA Market 1</v>
      </c>
      <c r="B1" t="str">
        <v>TBA Area 22</v>
      </c>
      <c r="C1" t="str">
        <v>3811</v>
      </c>
      <c r="D1" t="str">
        <v>3811 Chirnside Park</v>
      </c>
      <c r="E1" t="str">
        <v>100358</v>
      </c>
      <c r="F1" t="str">
        <v>BOX CLAMSHELL MINI</v>
      </c>
      <c r="G1" t="str">
        <v>EACH</v>
      </c>
      <c r="H1">
        <v>0</v>
      </c>
      <c r="I1">
        <v>0</v>
      </c>
      <c r="J1">
        <v>0</v>
      </c>
    </row>
    <row r="2">
      <c r="A2" t="str">
        <v>TBA Market 1</v>
      </c>
      <c r="B2" t="str">
        <v>TBA Area 22</v>
      </c>
      <c r="C2" t="str">
        <v>3811</v>
      </c>
      <c r="D2" t="str">
        <v>3811 Chirnside Park</v>
      </c>
      <c r="E2" t="str">
        <v>100399</v>
      </c>
      <c r="F2" t="str">
        <v>DRINK JUICE APPLE SPRING VALLEY</v>
      </c>
      <c r="G2" t="str">
        <v>EACH</v>
      </c>
      <c r="H2">
        <v>10</v>
      </c>
      <c r="I2">
        <v>1.36</v>
      </c>
      <c r="J2">
        <v>13.6</v>
      </c>
    </row>
    <row r="3">
      <c r="A3" t="str">
        <v>TBA Market 1</v>
      </c>
      <c r="B3" t="str">
        <v>TBA Area 22</v>
      </c>
      <c r="C3" t="str">
        <v>3811</v>
      </c>
      <c r="D3" t="str">
        <v>3811 Chirnside Park</v>
      </c>
      <c r="E3" t="str">
        <v>100400</v>
      </c>
      <c r="F3" t="str">
        <v>DRINK JUICE POP TOP APPLE 250ML</v>
      </c>
      <c r="G3" t="str">
        <v>EACH</v>
      </c>
      <c r="H3">
        <v>14</v>
      </c>
      <c r="I3">
        <v>0.65</v>
      </c>
      <c r="J3">
        <v>9.1</v>
      </c>
    </row>
    <row r="4">
      <c r="A4" t="str">
        <v>TBA Market 1</v>
      </c>
      <c r="B4" t="str">
        <v>TBA Area 22</v>
      </c>
      <c r="C4" t="str">
        <v>3811</v>
      </c>
      <c r="D4" t="str">
        <v>3811 Chirnside Park</v>
      </c>
      <c r="E4" t="str">
        <v>100401</v>
      </c>
      <c r="F4" t="str">
        <v>DRINK JUICE POP TOP ORANGE 250ML</v>
      </c>
      <c r="G4" t="str">
        <v>EACH</v>
      </c>
      <c r="H4">
        <v>37</v>
      </c>
      <c r="I4">
        <v>0.65</v>
      </c>
      <c r="J4">
        <v>24.05</v>
      </c>
    </row>
    <row r="5">
      <c r="A5" t="str">
        <v>TBA Market 1</v>
      </c>
      <c r="B5" t="str">
        <v>TBA Area 22</v>
      </c>
      <c r="C5" t="str">
        <v>3811</v>
      </c>
      <c r="D5" t="str">
        <v>3811 Chirnside Park</v>
      </c>
      <c r="E5" t="str">
        <v>100402</v>
      </c>
      <c r="F5" t="str">
        <v>DRINK WATER SPARKLING 500ML</v>
      </c>
      <c r="G5" t="str">
        <v>EACH</v>
      </c>
      <c r="H5">
        <v>9</v>
      </c>
      <c r="I5">
        <v>0.56</v>
      </c>
      <c r="J5">
        <v>5.040000000000001</v>
      </c>
    </row>
    <row r="6">
      <c r="A6" t="str">
        <v>TBA Market 1</v>
      </c>
      <c r="B6" t="str">
        <v>TBA Area 22</v>
      </c>
      <c r="C6" t="str">
        <v>3811</v>
      </c>
      <c r="D6" t="str">
        <v>3811 Chirnside Park</v>
      </c>
      <c r="E6" t="str">
        <v>100403</v>
      </c>
      <c r="F6" t="str">
        <v>DRINK RED BULL ED 250ML</v>
      </c>
      <c r="G6" t="str">
        <v>EACH</v>
      </c>
      <c r="H6">
        <v>13</v>
      </c>
      <c r="I6">
        <v>1.74</v>
      </c>
      <c r="J6">
        <v>22.62</v>
      </c>
    </row>
    <row r="7">
      <c r="A7" t="str">
        <v>TBA Market 1</v>
      </c>
      <c r="B7" t="str">
        <v>TBA Area 22</v>
      </c>
      <c r="C7" t="str">
        <v>3811</v>
      </c>
      <c r="D7" t="str">
        <v>3811 Chirnside Park</v>
      </c>
      <c r="E7" t="str">
        <v>100404</v>
      </c>
      <c r="F7" t="str">
        <v>DRINK RED BULL S/FREE 250ML</v>
      </c>
      <c r="G7" t="str">
        <v>EACH</v>
      </c>
      <c r="H7">
        <v>16</v>
      </c>
      <c r="I7">
        <v>1.74</v>
      </c>
      <c r="J7">
        <v>27.84</v>
      </c>
    </row>
    <row r="8">
      <c r="A8" t="str">
        <v>TBA Market 1</v>
      </c>
      <c r="B8" t="str">
        <v>TBA Area 22</v>
      </c>
      <c r="C8" t="str">
        <v>3811</v>
      </c>
      <c r="D8" t="str">
        <v>3811 Chirnside Park</v>
      </c>
      <c r="E8" t="str">
        <v>100405</v>
      </c>
      <c r="F8" t="str">
        <v>DRINK RED BULL TROPICAL 250ML</v>
      </c>
      <c r="G8" t="str">
        <v>EACH</v>
      </c>
      <c r="H8">
        <v>13</v>
      </c>
      <c r="I8">
        <v>1.76</v>
      </c>
      <c r="J8">
        <v>22.88</v>
      </c>
    </row>
    <row r="9">
      <c r="A9" t="str">
        <v>TBA Market 1</v>
      </c>
      <c r="B9" t="str">
        <v>TBA Area 22</v>
      </c>
      <c r="C9" t="str">
        <v>3811</v>
      </c>
      <c r="D9" t="str">
        <v>3811 Chirnside Park</v>
      </c>
      <c r="E9" t="str">
        <v>100457</v>
      </c>
      <c r="F9" t="str">
        <v>SAUCE FIRE 10X1KG</v>
      </c>
      <c r="G9" t="str">
        <v>KG</v>
      </c>
      <c r="H9">
        <v>3.4</v>
      </c>
      <c r="I9">
        <v>7.42</v>
      </c>
      <c r="J9">
        <v>25.228</v>
      </c>
    </row>
    <row r="10">
      <c r="A10" t="str">
        <v>TBA Market 1</v>
      </c>
      <c r="B10" t="str">
        <v>TBA Area 22</v>
      </c>
      <c r="C10" t="str">
        <v>3811</v>
      </c>
      <c r="D10" t="str">
        <v>3811 Chirnside Park</v>
      </c>
      <c r="E10" t="str">
        <v>106191</v>
      </c>
      <c r="F10" t="str">
        <v>SAUCE CARAMEL MONIN 1.89L</v>
      </c>
      <c r="G10" t="str">
        <v>LITRE</v>
      </c>
      <c r="H10">
        <v>6.4</v>
      </c>
      <c r="I10">
        <v>88.8</v>
      </c>
      <c r="J10">
        <v>568.32</v>
      </c>
    </row>
    <row r="11">
      <c r="A11" t="str">
        <v>TBA Market 1</v>
      </c>
      <c r="B11" t="str">
        <v>TBA Area 22</v>
      </c>
      <c r="C11" t="str">
        <v>3811</v>
      </c>
      <c r="D11" t="str">
        <v>3811 Chirnside Park</v>
      </c>
      <c r="E11" t="str">
        <v>106431</v>
      </c>
      <c r="F11" t="str">
        <v>260 x 260mm Baking Paper Golden Silidor</v>
      </c>
      <c r="G11" t="str">
        <v>EACH</v>
      </c>
      <c r="H11">
        <v>0</v>
      </c>
      <c r="I11">
        <v>0</v>
      </c>
      <c r="J11">
        <v>0</v>
      </c>
    </row>
    <row r="12">
      <c r="A12" t="str">
        <v>TBA Market 1</v>
      </c>
      <c r="B12" t="str">
        <v>TBA Area 22</v>
      </c>
      <c r="C12" t="str">
        <v>3811</v>
      </c>
      <c r="D12" t="str">
        <v>3811 Chirnside Park</v>
      </c>
      <c r="E12" t="str">
        <v>106491</v>
      </c>
      <c r="F12" t="str">
        <v>4OZ PORTION CUP 50EA</v>
      </c>
      <c r="G12" t="str">
        <v>EACH</v>
      </c>
      <c r="H12">
        <v>-552</v>
      </c>
      <c r="I12">
        <v>0.05</v>
      </c>
      <c r="J12">
        <v>-27.6</v>
      </c>
    </row>
    <row r="13">
      <c r="A13" t="str">
        <v>TBA Market 1</v>
      </c>
      <c r="B13" t="str">
        <v>TBA Area 22</v>
      </c>
      <c r="C13" t="str">
        <v>3811</v>
      </c>
      <c r="D13" t="str">
        <v>3811 Chirnside Park</v>
      </c>
      <c r="E13" t="str">
        <v>106551</v>
      </c>
      <c r="F13" t="str">
        <v>4OZ PORTION CUP LID 50EA</v>
      </c>
      <c r="G13" t="str">
        <v>EACH</v>
      </c>
      <c r="H13">
        <v>-552</v>
      </c>
      <c r="I13">
        <v>0.04</v>
      </c>
      <c r="J13">
        <v>-22.08</v>
      </c>
    </row>
    <row r="14">
      <c r="A14" t="str">
        <v>TBA Market 1</v>
      </c>
      <c r="B14" t="str">
        <v>TBA Area 22</v>
      </c>
      <c r="C14" t="str">
        <v>3811</v>
      </c>
      <c r="D14" t="str">
        <v>3811 Chirnside Park</v>
      </c>
      <c r="E14" t="str">
        <v>106611</v>
      </c>
      <c r="F14" t="str">
        <v>BIN LINER 240L V2</v>
      </c>
      <c r="G14" t="str">
        <v>EACH</v>
      </c>
      <c r="H14">
        <v>0</v>
      </c>
      <c r="I14">
        <v>0</v>
      </c>
      <c r="J14">
        <v>0</v>
      </c>
    </row>
    <row r="15">
      <c r="A15" t="str">
        <v>TBA Market 1</v>
      </c>
      <c r="B15" t="str">
        <v>TBA Area 22</v>
      </c>
      <c r="C15" t="str">
        <v>3811</v>
      </c>
      <c r="D15" t="str">
        <v>3811 Chirnside Park</v>
      </c>
      <c r="E15" t="str">
        <v>106671</v>
      </c>
      <c r="F15" t="str">
        <v>15L X 1 BIB SCH RED CREAMING SODA</v>
      </c>
      <c r="G15" t="str">
        <v>LITRE</v>
      </c>
      <c r="H15">
        <v>0</v>
      </c>
      <c r="I15">
        <v>0</v>
      </c>
      <c r="J15">
        <v>0</v>
      </c>
    </row>
    <row r="16">
      <c r="A16" t="str">
        <v>TBA Market 1</v>
      </c>
      <c r="B16" t="str">
        <v>TBA Area 22</v>
      </c>
      <c r="C16" t="str">
        <v>3811</v>
      </c>
      <c r="D16" t="str">
        <v>3811 Chirnside Park</v>
      </c>
      <c r="E16" t="str">
        <v>11172</v>
      </c>
      <c r="F16" t="str">
        <v>DESSERT CHOCETTES</v>
      </c>
      <c r="G16" t="str">
        <v>KG</v>
      </c>
      <c r="H16">
        <v>3.69</v>
      </c>
      <c r="I16">
        <v>16.37</v>
      </c>
      <c r="J16">
        <v>60.4053</v>
      </c>
    </row>
    <row r="17">
      <c r="A17" t="str">
        <v>TBA Market 1</v>
      </c>
      <c r="B17" t="str">
        <v>TBA Area 22</v>
      </c>
      <c r="C17" t="str">
        <v>3811</v>
      </c>
      <c r="D17" t="str">
        <v>3811 Chirnside Park</v>
      </c>
      <c r="E17" t="str">
        <v>12128</v>
      </c>
      <c r="F17" t="str">
        <v>DRINK PEPSI MAX 600ML</v>
      </c>
      <c r="G17" t="str">
        <v>EACH</v>
      </c>
      <c r="H17">
        <v>74</v>
      </c>
      <c r="I17">
        <v>0.58</v>
      </c>
      <c r="J17">
        <v>42.91999999999999</v>
      </c>
    </row>
    <row r="18">
      <c r="A18" t="str">
        <v>TBA Market 1</v>
      </c>
      <c r="B18" t="str">
        <v>TBA Area 22</v>
      </c>
      <c r="C18" t="str">
        <v>3811</v>
      </c>
      <c r="D18" t="str">
        <v>3811 Chirnside Park</v>
      </c>
      <c r="E18" t="str">
        <v>12150</v>
      </c>
      <c r="F18" t="str">
        <v>DRINK PEPSI CAN</v>
      </c>
      <c r="G18" t="str">
        <v>EACH</v>
      </c>
      <c r="H18">
        <v>51</v>
      </c>
      <c r="I18">
        <v>0.52</v>
      </c>
      <c r="J18">
        <v>26.52</v>
      </c>
    </row>
    <row r="19">
      <c r="A19" t="str">
        <v>TBA Market 1</v>
      </c>
      <c r="B19" t="str">
        <v>TBA Area 22</v>
      </c>
      <c r="C19" t="str">
        <v>3811</v>
      </c>
      <c r="D19" t="str">
        <v>3811 Chirnside Park</v>
      </c>
      <c r="E19" t="str">
        <v>12151</v>
      </c>
      <c r="F19" t="str">
        <v>DRINK PEPSI POST MIX</v>
      </c>
      <c r="G19" t="str">
        <v>LITRE</v>
      </c>
      <c r="H19">
        <v>55.71</v>
      </c>
      <c r="I19">
        <v>2.34</v>
      </c>
      <c r="J19">
        <v>130.3614</v>
      </c>
    </row>
    <row r="20">
      <c r="A20" t="str">
        <v>TBA Market 1</v>
      </c>
      <c r="B20" t="str">
        <v>TBA Area 22</v>
      </c>
      <c r="C20" t="str">
        <v>3811</v>
      </c>
      <c r="D20" t="str">
        <v>3811 Chirnside Park</v>
      </c>
      <c r="E20" t="str">
        <v>12153</v>
      </c>
      <c r="F20" t="str">
        <v>DRINK 7UP BIB 15L</v>
      </c>
      <c r="G20" t="str">
        <v>LITRE</v>
      </c>
      <c r="H20">
        <v>47.7</v>
      </c>
      <c r="I20">
        <v>2.34</v>
      </c>
      <c r="J20">
        <v>111.61800000000001</v>
      </c>
    </row>
    <row r="21">
      <c r="A21" t="str">
        <v>TBA Market 1</v>
      </c>
      <c r="B21" t="str">
        <v>TBA Area 22</v>
      </c>
      <c r="C21" t="str">
        <v>3811</v>
      </c>
      <c r="D21" t="str">
        <v>3811 Chirnside Park</v>
      </c>
      <c r="E21" t="str">
        <v>12945</v>
      </c>
      <c r="F21" t="str">
        <v>CREAM SOUR LIGHT</v>
      </c>
      <c r="G21" t="str">
        <v>KG</v>
      </c>
      <c r="H21">
        <v>31.82</v>
      </c>
      <c r="I21">
        <v>5.23</v>
      </c>
      <c r="J21">
        <v>166.4186</v>
      </c>
    </row>
    <row r="22">
      <c r="A22" t="str">
        <v>TBA Market 1</v>
      </c>
      <c r="B22" t="str">
        <v>TBA Area 22</v>
      </c>
      <c r="C22" t="str">
        <v>3811</v>
      </c>
      <c r="D22" t="str">
        <v>3811 Chirnside Park</v>
      </c>
      <c r="E22" t="str">
        <v>13016</v>
      </c>
      <c r="F22" t="str">
        <v>LETTUCE SHREDDED</v>
      </c>
      <c r="G22" t="str">
        <v>KG</v>
      </c>
      <c r="H22">
        <v>31.65</v>
      </c>
      <c r="I22">
        <v>4.41</v>
      </c>
      <c r="J22">
        <v>139.5765</v>
      </c>
    </row>
    <row r="23">
      <c r="A23" t="str">
        <v>TBA Market 1</v>
      </c>
      <c r="B23" t="str">
        <v>TBA Area 22</v>
      </c>
      <c r="C23" t="str">
        <v>3811</v>
      </c>
      <c r="D23" t="str">
        <v>3811 Chirnside Park</v>
      </c>
      <c r="E23" t="str">
        <v>13529</v>
      </c>
      <c r="F23" t="str">
        <v>TRAYS DRINKS 4 CUP</v>
      </c>
      <c r="G23" t="str">
        <v>EACH</v>
      </c>
      <c r="H23">
        <v>10.5</v>
      </c>
      <c r="I23">
        <v>0.18</v>
      </c>
      <c r="J23">
        <v>1.89</v>
      </c>
    </row>
    <row r="24">
      <c r="A24" t="str">
        <v>TBA Market 1</v>
      </c>
      <c r="B24" t="str">
        <v>TBA Area 22</v>
      </c>
      <c r="C24" t="str">
        <v>3811</v>
      </c>
      <c r="D24" t="str">
        <v>3811 Chirnside Park</v>
      </c>
      <c r="E24" t="str">
        <v>13735</v>
      </c>
      <c r="F24" t="str">
        <v>LID POSTMIX</v>
      </c>
      <c r="G24" t="str">
        <v>EACH</v>
      </c>
      <c r="H24">
        <v>1594</v>
      </c>
      <c r="I24">
        <v>0.02</v>
      </c>
      <c r="J24">
        <v>31.88</v>
      </c>
    </row>
    <row r="25">
      <c r="A25" t="str">
        <v>TBA Market 1</v>
      </c>
      <c r="B25" t="str">
        <v>TBA Area 22</v>
      </c>
      <c r="C25" t="str">
        <v>3811</v>
      </c>
      <c r="D25" t="str">
        <v>3811 Chirnside Park</v>
      </c>
      <c r="E25" t="str">
        <v>13839</v>
      </c>
      <c r="F25" t="str">
        <v>DRINK WATER 600ML PET</v>
      </c>
      <c r="G25" t="str">
        <v>EACH</v>
      </c>
      <c r="H25">
        <v>45</v>
      </c>
      <c r="I25">
        <v>0.5</v>
      </c>
      <c r="J25">
        <v>22.5</v>
      </c>
    </row>
    <row r="26">
      <c r="A26" t="str">
        <v>TBA Market 1</v>
      </c>
      <c r="B26" t="str">
        <v>TBA Area 22</v>
      </c>
      <c r="C26" t="str">
        <v>3811</v>
      </c>
      <c r="D26" t="str">
        <v>3811 Chirnside Park</v>
      </c>
      <c r="E26" t="str">
        <v>14601</v>
      </c>
      <c r="F26" t="str">
        <v>DRINK PEPSI MAX CAN</v>
      </c>
      <c r="G26" t="str">
        <v>EACH</v>
      </c>
      <c r="H26">
        <v>109</v>
      </c>
      <c r="I26">
        <v>0.52</v>
      </c>
      <c r="J26">
        <v>56.68</v>
      </c>
    </row>
    <row r="27">
      <c r="A27" t="str">
        <v>TBA Market 1</v>
      </c>
      <c r="B27" t="str">
        <v>TBA Area 22</v>
      </c>
      <c r="C27" t="str">
        <v>3811</v>
      </c>
      <c r="D27" t="str">
        <v>3811 Chirnside Park</v>
      </c>
      <c r="E27" t="str">
        <v>14602</v>
      </c>
      <c r="F27" t="str">
        <v>DRINK 7UP CAN</v>
      </c>
      <c r="G27" t="str">
        <v>EACH</v>
      </c>
      <c r="H27">
        <v>42</v>
      </c>
      <c r="I27">
        <v>0.52</v>
      </c>
      <c r="J27">
        <v>21.84</v>
      </c>
    </row>
    <row r="28">
      <c r="A28" t="str">
        <v>TBA Market 1</v>
      </c>
      <c r="B28" t="str">
        <v>TBA Area 22</v>
      </c>
      <c r="C28" t="str">
        <v>3811</v>
      </c>
      <c r="D28" t="str">
        <v>3811 Chirnside Park</v>
      </c>
      <c r="E28" t="str">
        <v>14603</v>
      </c>
      <c r="F28" t="str">
        <v>DRINK MOUNTAIN DEW CAN</v>
      </c>
      <c r="G28" t="str">
        <v>EACH</v>
      </c>
      <c r="H28">
        <v>22</v>
      </c>
      <c r="I28">
        <v>0.52</v>
      </c>
      <c r="J28">
        <v>11.44</v>
      </c>
    </row>
    <row r="29">
      <c r="A29" t="str">
        <v>TBA Market 1</v>
      </c>
      <c r="B29" t="str">
        <v>TBA Area 22</v>
      </c>
      <c r="C29" t="str">
        <v>3811</v>
      </c>
      <c r="D29" t="str">
        <v>3811 Chirnside Park</v>
      </c>
      <c r="E29" t="str">
        <v>14606</v>
      </c>
      <c r="F29" t="str">
        <v>DRINK MOUNTAIN DEW BIB 15L</v>
      </c>
      <c r="G29" t="str">
        <v>LITRE</v>
      </c>
      <c r="H29">
        <v>29.18</v>
      </c>
      <c r="I29">
        <v>2.34</v>
      </c>
      <c r="J29">
        <v>68.2812</v>
      </c>
    </row>
    <row r="30">
      <c r="A30" t="str">
        <v>TBA Market 1</v>
      </c>
      <c r="B30" t="str">
        <v>TBA Area 22</v>
      </c>
      <c r="C30" t="str">
        <v>3811</v>
      </c>
      <c r="D30" t="str">
        <v>3811 Chirnside Park</v>
      </c>
      <c r="E30" t="str">
        <v>14648</v>
      </c>
      <c r="F30" t="str">
        <v>DRINK PEPSI 600ML</v>
      </c>
      <c r="G30" t="str">
        <v>EACH</v>
      </c>
      <c r="H30">
        <v>35</v>
      </c>
      <c r="I30">
        <v>0.47</v>
      </c>
      <c r="J30">
        <v>16.45</v>
      </c>
    </row>
    <row r="31">
      <c r="A31" t="str">
        <v>TBA Market 1</v>
      </c>
      <c r="B31" t="str">
        <v>TBA Area 22</v>
      </c>
      <c r="C31" t="str">
        <v>3811</v>
      </c>
      <c r="D31" t="str">
        <v>3811 Chirnside Park</v>
      </c>
      <c r="E31" t="str">
        <v>14791</v>
      </c>
      <c r="F31" t="str">
        <v>GUACAMOLE</v>
      </c>
      <c r="G31" t="str">
        <v>KG</v>
      </c>
      <c r="H31">
        <v>19.9</v>
      </c>
      <c r="I31">
        <v>9.79</v>
      </c>
      <c r="J31">
        <v>194.82099999999994</v>
      </c>
    </row>
    <row r="32">
      <c r="A32" t="str">
        <v>TBA Market 1</v>
      </c>
      <c r="B32" t="str">
        <v>TBA Area 22</v>
      </c>
      <c r="C32" t="str">
        <v>3811</v>
      </c>
      <c r="D32" t="str">
        <v>3811 Chirnside Park</v>
      </c>
      <c r="E32" t="str">
        <v>15049</v>
      </c>
      <c r="F32" t="str">
        <v>FRIES SURECRISP</v>
      </c>
      <c r="G32" t="str">
        <v>KG</v>
      </c>
      <c r="H32">
        <v>370.95</v>
      </c>
      <c r="I32">
        <v>3.1</v>
      </c>
      <c r="J32">
        <v>1149.945</v>
      </c>
    </row>
    <row r="33">
      <c r="A33" t="str">
        <v>TBA Market 1</v>
      </c>
      <c r="B33" t="str">
        <v>TBA Area 22</v>
      </c>
      <c r="C33" t="str">
        <v>3811</v>
      </c>
      <c r="D33" t="str">
        <v>3811 Chirnside Park</v>
      </c>
      <c r="E33" t="str">
        <v>15112</v>
      </c>
      <c r="F33" t="str">
        <v>TOMATO DICED</v>
      </c>
      <c r="G33" t="str">
        <v>KG</v>
      </c>
      <c r="H33">
        <v>6.6</v>
      </c>
      <c r="I33">
        <v>9.93</v>
      </c>
      <c r="J33">
        <v>65.538</v>
      </c>
    </row>
    <row r="34">
      <c r="A34" t="str">
        <v>TBA Market 1</v>
      </c>
      <c r="B34" t="str">
        <v>TBA Area 22</v>
      </c>
      <c r="C34" t="str">
        <v>3811</v>
      </c>
      <c r="D34" t="str">
        <v>3811 Chirnside Park</v>
      </c>
      <c r="E34" t="str">
        <v>15659</v>
      </c>
      <c r="F34" t="str">
        <v>ONION BROWN DICED</v>
      </c>
      <c r="G34" t="str">
        <v>KG</v>
      </c>
      <c r="H34">
        <v>5.01</v>
      </c>
      <c r="I34">
        <v>8.54</v>
      </c>
      <c r="J34">
        <v>42.78539999999999</v>
      </c>
    </row>
    <row r="35">
      <c r="A35" t="str">
        <v>TBA Market 1</v>
      </c>
      <c r="B35" t="str">
        <v>TBA Area 22</v>
      </c>
      <c r="C35" t="str">
        <v>3811</v>
      </c>
      <c r="D35" t="str">
        <v>3811 Chirnside Park</v>
      </c>
      <c r="E35" t="str">
        <v>15733</v>
      </c>
      <c r="F35" t="str">
        <v>DRINK SUNKIST ORANGE CAN</v>
      </c>
      <c r="G35" t="str">
        <v>EACH</v>
      </c>
      <c r="H35">
        <v>37</v>
      </c>
      <c r="I35">
        <v>0.52</v>
      </c>
      <c r="J35">
        <v>19.24</v>
      </c>
    </row>
    <row r="36">
      <c r="A36" t="str">
        <v>TBA Market 1</v>
      </c>
      <c r="B36" t="str">
        <v>TBA Area 22</v>
      </c>
      <c r="C36" t="str">
        <v>3811</v>
      </c>
      <c r="D36" t="str">
        <v>3811 Chirnside Park</v>
      </c>
      <c r="E36" t="str">
        <v>15735</v>
      </c>
      <c r="F36" t="str">
        <v>DRINK SOLO CAN</v>
      </c>
      <c r="G36" t="str">
        <v>EACH</v>
      </c>
      <c r="H36">
        <v>45</v>
      </c>
      <c r="I36">
        <v>0.52</v>
      </c>
      <c r="J36">
        <v>23.4</v>
      </c>
    </row>
    <row r="37">
      <c r="A37" t="str">
        <v>TBA Market 1</v>
      </c>
      <c r="B37" t="str">
        <v>TBA Area 22</v>
      </c>
      <c r="C37" t="str">
        <v>3811</v>
      </c>
      <c r="D37" t="str">
        <v>3811 Chirnside Park</v>
      </c>
      <c r="E37" t="str">
        <v>16235</v>
      </c>
      <c r="F37" t="str">
        <v>DRINK PEPSI MAX BIB 10L</v>
      </c>
      <c r="G37" t="str">
        <v>LITRE</v>
      </c>
      <c r="H37">
        <v>29.6</v>
      </c>
      <c r="I37">
        <v>2.35</v>
      </c>
      <c r="J37">
        <v>69.56</v>
      </c>
    </row>
    <row r="38">
      <c r="A38" t="str">
        <v>TBA Market 1</v>
      </c>
      <c r="B38" t="str">
        <v>TBA Area 22</v>
      </c>
      <c r="C38" t="str">
        <v>3811</v>
      </c>
      <c r="D38" t="str">
        <v>3811 Chirnside Park</v>
      </c>
      <c r="E38" t="str">
        <v>16520</v>
      </c>
      <c r="F38" t="str">
        <v>DRINK 7UP 600ML PET</v>
      </c>
      <c r="G38" t="str">
        <v>EACH</v>
      </c>
      <c r="H38">
        <v>31</v>
      </c>
      <c r="I38">
        <v>0.58</v>
      </c>
      <c r="J38">
        <v>17.979999999999997</v>
      </c>
    </row>
    <row r="39">
      <c r="A39" t="str">
        <v>TBA Market 1</v>
      </c>
      <c r="B39" t="str">
        <v>TBA Area 22</v>
      </c>
      <c r="C39" t="str">
        <v>3811</v>
      </c>
      <c r="D39" t="str">
        <v>3811 Chirnside Park</v>
      </c>
      <c r="E39" t="str">
        <v>16521</v>
      </c>
      <c r="F39" t="str">
        <v>DRINK MOUNTAIN DEW 600ML PET</v>
      </c>
      <c r="G39" t="str">
        <v>EACH</v>
      </c>
      <c r="H39">
        <v>49</v>
      </c>
      <c r="I39">
        <v>0.58</v>
      </c>
      <c r="J39">
        <v>28.419999999999995</v>
      </c>
    </row>
    <row r="40">
      <c r="A40" t="str">
        <v>TBA Market 1</v>
      </c>
      <c r="B40" t="str">
        <v>TBA Area 22</v>
      </c>
      <c r="C40" t="str">
        <v>3811</v>
      </c>
      <c r="D40" t="str">
        <v>3811 Chirnside Park</v>
      </c>
      <c r="E40" t="str">
        <v>16522</v>
      </c>
      <c r="F40" t="str">
        <v>DRINK SOLO LEMON 600ML PET</v>
      </c>
      <c r="G40" t="str">
        <v>EACH</v>
      </c>
      <c r="H40">
        <v>11</v>
      </c>
      <c r="I40">
        <v>0.58</v>
      </c>
      <c r="J40">
        <v>6.379999999999999</v>
      </c>
    </row>
    <row r="41">
      <c r="A41" t="str">
        <v>TBA Market 1</v>
      </c>
      <c r="B41" t="str">
        <v>TBA Area 22</v>
      </c>
      <c r="C41" t="str">
        <v>3811</v>
      </c>
      <c r="D41" t="str">
        <v>3811 Chirnside Park</v>
      </c>
      <c r="E41" t="str">
        <v>16523</v>
      </c>
      <c r="F41" t="str">
        <v>DRINK SUNKIST ORANGE 600ML</v>
      </c>
      <c r="G41" t="str">
        <v>EACH</v>
      </c>
      <c r="H41">
        <v>17</v>
      </c>
      <c r="I41">
        <v>0.58</v>
      </c>
      <c r="J41">
        <v>9.86</v>
      </c>
    </row>
    <row r="42">
      <c r="A42" t="str">
        <v>TBA Market 1</v>
      </c>
      <c r="B42" t="str">
        <v>TBA Area 22</v>
      </c>
      <c r="C42" t="str">
        <v>3811</v>
      </c>
      <c r="D42" t="str">
        <v>3811 Chirnside Park</v>
      </c>
      <c r="E42" t="str">
        <v>16524</v>
      </c>
      <c r="F42" t="str">
        <v>DRINK SUNKIST ORANGE BIB 15L</v>
      </c>
      <c r="G42" t="str">
        <v>LITRE</v>
      </c>
      <c r="H42">
        <v>56.74</v>
      </c>
      <c r="I42">
        <v>2.34</v>
      </c>
      <c r="J42">
        <v>132.7716</v>
      </c>
    </row>
    <row r="43">
      <c r="A43" t="str">
        <v>TBA Market 1</v>
      </c>
      <c r="B43" t="str">
        <v>TBA Area 22</v>
      </c>
      <c r="C43" t="str">
        <v>3811</v>
      </c>
      <c r="D43" t="str">
        <v>3811 Chirnside Park</v>
      </c>
      <c r="E43" t="str">
        <v>16525</v>
      </c>
      <c r="F43" t="str">
        <v>DRINK SOLO LEMON BIB 15L</v>
      </c>
      <c r="G43" t="str">
        <v>LITRE</v>
      </c>
      <c r="H43">
        <v>59.6</v>
      </c>
      <c r="I43">
        <v>2.34</v>
      </c>
      <c r="J43">
        <v>139.464</v>
      </c>
    </row>
    <row r="44">
      <c r="A44" t="str">
        <v>TBA Market 1</v>
      </c>
      <c r="B44" t="str">
        <v>TBA Area 22</v>
      </c>
      <c r="C44" t="str">
        <v>3811</v>
      </c>
      <c r="D44" t="str">
        <v>3811 Chirnside Park</v>
      </c>
      <c r="E44" t="str">
        <v>17903</v>
      </c>
      <c r="F44" t="str">
        <v>SAUCE TOMATO SQUEEZE</v>
      </c>
      <c r="G44" t="str">
        <v>EACH</v>
      </c>
      <c r="H44">
        <v>0</v>
      </c>
      <c r="I44">
        <v>0</v>
      </c>
      <c r="J44">
        <v>0</v>
      </c>
    </row>
    <row r="45">
      <c r="A45" t="str">
        <v>TBA Market 1</v>
      </c>
      <c r="B45" t="str">
        <v>TBA Area 22</v>
      </c>
      <c r="C45" t="str">
        <v>3811</v>
      </c>
      <c r="D45" t="str">
        <v>3811 Chirnside Park</v>
      </c>
      <c r="E45" t="str">
        <v>20295</v>
      </c>
      <c r="F45" t="str">
        <v>JALAPENO</v>
      </c>
      <c r="G45" t="str">
        <v>KG</v>
      </c>
      <c r="H45">
        <v>16.27</v>
      </c>
      <c r="I45">
        <v>3.05</v>
      </c>
      <c r="J45">
        <v>49.62350000000001</v>
      </c>
    </row>
    <row r="46">
      <c r="A46" t="str">
        <v>TBA Market 1</v>
      </c>
      <c r="B46" t="str">
        <v>TBA Area 22</v>
      </c>
      <c r="C46" t="str">
        <v>3811</v>
      </c>
      <c r="D46" t="str">
        <v>3811 Chirnside Park</v>
      </c>
      <c r="E46" t="str">
        <v>33312</v>
      </c>
      <c r="F46" t="str">
        <v>OIL FRYING LIQUID CARGILL</v>
      </c>
      <c r="G46" t="str">
        <v>KG</v>
      </c>
      <c r="H46">
        <v>39.34</v>
      </c>
      <c r="I46">
        <v>2.63</v>
      </c>
      <c r="J46">
        <v>103.46420000000002</v>
      </c>
    </row>
    <row r="47">
      <c r="A47" t="str">
        <v>TBA Market 1</v>
      </c>
      <c r="B47" t="str">
        <v>TBA Area 22</v>
      </c>
      <c r="C47" t="str">
        <v>3811</v>
      </c>
      <c r="D47" t="str">
        <v>3811 Chirnside Park</v>
      </c>
      <c r="E47" t="str">
        <v>34210</v>
      </c>
      <c r="F47" t="str">
        <v>SUGAR CINNAMON 5KG</v>
      </c>
      <c r="G47" t="str">
        <v>KG</v>
      </c>
      <c r="H47">
        <v>7.65</v>
      </c>
      <c r="I47">
        <v>7.38</v>
      </c>
      <c r="J47">
        <v>56.457</v>
      </c>
    </row>
    <row r="48">
      <c r="A48" t="str">
        <v>TBA Market 1</v>
      </c>
      <c r="B48" t="str">
        <v>TBA Area 22</v>
      </c>
      <c r="C48" t="str">
        <v>3811</v>
      </c>
      <c r="D48" t="str">
        <v>3811 Chirnside Park</v>
      </c>
      <c r="E48" t="str">
        <v>36128</v>
      </c>
      <c r="F48" t="str">
        <v>DRINK FCB FREEZE PEPSI 10L</v>
      </c>
      <c r="G48" t="str">
        <v>LITRE</v>
      </c>
      <c r="H48">
        <v>20</v>
      </c>
      <c r="I48">
        <v>4.27</v>
      </c>
      <c r="J48">
        <v>85.39999999999998</v>
      </c>
    </row>
    <row r="49">
      <c r="A49" t="str">
        <v>TBA Market 1</v>
      </c>
      <c r="B49" t="str">
        <v>TBA Area 22</v>
      </c>
      <c r="C49" t="str">
        <v>3811</v>
      </c>
      <c r="D49" t="str">
        <v>3811 Chirnside Park</v>
      </c>
      <c r="E49" t="str">
        <v>36224</v>
      </c>
      <c r="F49" t="str">
        <v>DRINK FCB FREEZE MOUNTAIN DEW 10L</v>
      </c>
      <c r="G49" t="str">
        <v>LITRE</v>
      </c>
      <c r="H49">
        <v>20</v>
      </c>
      <c r="I49">
        <v>4.27</v>
      </c>
      <c r="J49">
        <v>85.39999999999998</v>
      </c>
    </row>
    <row r="50">
      <c r="A50" t="str">
        <v>TBA Market 1</v>
      </c>
      <c r="B50" t="str">
        <v>TBA Area 22</v>
      </c>
      <c r="C50" t="str">
        <v>3811</v>
      </c>
      <c r="D50" t="str">
        <v>3811 Chirnside Park</v>
      </c>
      <c r="E50" t="str">
        <v>36549</v>
      </c>
      <c r="F50" t="str">
        <v>NAPKINS BROWN RECYCLE</v>
      </c>
      <c r="G50" t="str">
        <v>EACH</v>
      </c>
      <c r="H50">
        <v>11028</v>
      </c>
      <c r="I50">
        <v>0.01</v>
      </c>
      <c r="J50">
        <v>110.28</v>
      </c>
    </row>
    <row r="51">
      <c r="A51" t="str">
        <v>TBA Market 1</v>
      </c>
      <c r="B51" t="str">
        <v>TBA Area 22</v>
      </c>
      <c r="C51" t="str">
        <v>3811</v>
      </c>
      <c r="D51" t="str">
        <v>3811 Chirnside Park</v>
      </c>
      <c r="E51" t="str">
        <v>37378</v>
      </c>
      <c r="F51" t="str">
        <v>CUP FCB 590 ML CH</v>
      </c>
      <c r="G51" t="str">
        <v>EACH</v>
      </c>
      <c r="H51">
        <v>323</v>
      </c>
      <c r="I51">
        <v>0.07</v>
      </c>
      <c r="J51">
        <v>22.610000000000003</v>
      </c>
    </row>
    <row r="52">
      <c r="A52" t="str">
        <v>TBA Market 1</v>
      </c>
      <c r="B52" t="str">
        <v>TBA Area 22</v>
      </c>
      <c r="C52" t="str">
        <v>3811</v>
      </c>
      <c r="D52" t="str">
        <v>3811 Chirnside Park</v>
      </c>
      <c r="E52" t="str">
        <v>37380</v>
      </c>
      <c r="F52" t="str">
        <v>LID FCB DOME 590 ML CH</v>
      </c>
      <c r="G52" t="str">
        <v>EACH</v>
      </c>
      <c r="H52">
        <v>1010</v>
      </c>
      <c r="I52">
        <v>0.02</v>
      </c>
      <c r="J52">
        <v>20.2</v>
      </c>
    </row>
    <row r="53">
      <c r="A53" t="str">
        <v>TBA Market 1</v>
      </c>
      <c r="B53" t="str">
        <v>TBA Area 22</v>
      </c>
      <c r="C53" t="str">
        <v>3811</v>
      </c>
      <c r="D53" t="str">
        <v>3811 Chirnside Park</v>
      </c>
      <c r="E53" t="str">
        <v>37854</v>
      </c>
      <c r="F53" t="str">
        <v>CUP POSTMIX REGULAR</v>
      </c>
      <c r="G53" t="str">
        <v>EACH</v>
      </c>
      <c r="H53">
        <v>384</v>
      </c>
      <c r="I53">
        <v>0.07</v>
      </c>
      <c r="J53">
        <v>26.880000000000006</v>
      </c>
    </row>
    <row r="54">
      <c r="A54" t="str">
        <v>TBA Market 1</v>
      </c>
      <c r="B54" t="str">
        <v>TBA Area 22</v>
      </c>
      <c r="C54" t="str">
        <v>3811</v>
      </c>
      <c r="D54" t="str">
        <v>3811 Chirnside Park</v>
      </c>
      <c r="E54" t="str">
        <v>37856</v>
      </c>
      <c r="F54" t="str">
        <v>CUP POSTMIX LARGE</v>
      </c>
      <c r="G54" t="str">
        <v>EACH</v>
      </c>
      <c r="H54">
        <v>808</v>
      </c>
      <c r="I54">
        <v>0.09</v>
      </c>
      <c r="J54">
        <v>72.72</v>
      </c>
    </row>
    <row r="55">
      <c r="A55" t="str">
        <v>TBA Market 1</v>
      </c>
      <c r="B55" t="str">
        <v>TBA Area 22</v>
      </c>
      <c r="C55" t="str">
        <v>3811</v>
      </c>
      <c r="D55" t="str">
        <v>3811 Chirnside Park</v>
      </c>
      <c r="E55" t="str">
        <v>37862</v>
      </c>
      <c r="F55" t="str">
        <v>BEANS BLACK COOKED</v>
      </c>
      <c r="G55" t="str">
        <v>KG</v>
      </c>
      <c r="H55">
        <v>34.21</v>
      </c>
      <c r="I55">
        <v>5.31</v>
      </c>
      <c r="J55">
        <v>181.65510000000003</v>
      </c>
    </row>
    <row r="56">
      <c r="A56" t="str">
        <v>TBA Market 1</v>
      </c>
      <c r="B56" t="str">
        <v>TBA Area 22</v>
      </c>
      <c r="C56" t="str">
        <v>3811</v>
      </c>
      <c r="D56" t="str">
        <v>3811 Chirnside Park</v>
      </c>
      <c r="E56" t="str">
        <v>37870</v>
      </c>
      <c r="F56" t="str">
        <v>SAUCE CHILLI MILD</v>
      </c>
      <c r="G56" t="str">
        <v>KG</v>
      </c>
      <c r="H56">
        <v>21.69</v>
      </c>
      <c r="I56">
        <v>5.41</v>
      </c>
      <c r="J56">
        <v>117.34290000000001</v>
      </c>
    </row>
    <row r="57">
      <c r="A57" t="str">
        <v>TBA Market 1</v>
      </c>
      <c r="B57" t="str">
        <v>TBA Area 22</v>
      </c>
      <c r="C57" t="str">
        <v>3811</v>
      </c>
      <c r="D57" t="str">
        <v>3811 Chirnside Park</v>
      </c>
      <c r="E57" t="str">
        <v>37872</v>
      </c>
      <c r="F57" t="str">
        <v>CANTINA BROWN BOX</v>
      </c>
      <c r="G57" t="str">
        <v>EACH</v>
      </c>
      <c r="H57">
        <v>337</v>
      </c>
      <c r="I57">
        <v>0.18</v>
      </c>
      <c r="J57">
        <v>60.66</v>
      </c>
    </row>
    <row r="58">
      <c r="A58" t="str">
        <v>TBA Market 1</v>
      </c>
      <c r="B58" t="str">
        <v>TBA Area 22</v>
      </c>
      <c r="C58" t="str">
        <v>3811</v>
      </c>
      <c r="D58" t="str">
        <v>3811 Chirnside Park</v>
      </c>
      <c r="E58" t="str">
        <v>37876</v>
      </c>
      <c r="F58" t="str">
        <v>CHEESE BLEND MOZZ/CHEDD (PIZZA) SHRED</v>
      </c>
      <c r="G58" t="str">
        <v>KG</v>
      </c>
      <c r="H58">
        <v>30.52</v>
      </c>
      <c r="I58">
        <v>12.15</v>
      </c>
      <c r="J58">
        <v>370.81800000000004</v>
      </c>
    </row>
    <row r="59">
      <c r="A59" t="str">
        <v>TBA Market 1</v>
      </c>
      <c r="B59" t="str">
        <v>TBA Area 22</v>
      </c>
      <c r="C59" t="str">
        <v>3811</v>
      </c>
      <c r="D59" t="str">
        <v>3811 Chirnside Park</v>
      </c>
      <c r="E59" t="str">
        <v>37883</v>
      </c>
      <c r="F59" t="str">
        <v>SAUCE CHOCOLATE DA VINCI</v>
      </c>
      <c r="G59" t="str">
        <v>LITRE</v>
      </c>
      <c r="H59">
        <v>1.85</v>
      </c>
      <c r="I59">
        <v>8.5</v>
      </c>
      <c r="J59">
        <v>15.725</v>
      </c>
    </row>
    <row r="60">
      <c r="A60" t="str">
        <v>TBA Market 1</v>
      </c>
      <c r="B60" t="str">
        <v>TBA Area 22</v>
      </c>
      <c r="C60" t="str">
        <v>3811</v>
      </c>
      <c r="D60" t="str">
        <v>3811 Chirnside Park</v>
      </c>
      <c r="E60" t="str">
        <v>37887</v>
      </c>
      <c r="F60" t="str">
        <v>CHIP NACHO CORN</v>
      </c>
      <c r="G60" t="str">
        <v>KG</v>
      </c>
      <c r="H60">
        <v>33.91</v>
      </c>
      <c r="I60">
        <v>6.35</v>
      </c>
      <c r="J60">
        <v>215.32849999999996</v>
      </c>
    </row>
    <row r="61">
      <c r="A61" t="str">
        <v>TBA Market 1</v>
      </c>
      <c r="B61" t="str">
        <v>TBA Area 22</v>
      </c>
      <c r="C61" t="str">
        <v>3811</v>
      </c>
      <c r="D61" t="str">
        <v>3811 Chirnside Park</v>
      </c>
      <c r="E61" t="str">
        <v>37891</v>
      </c>
      <c r="F61" t="str">
        <v>TORTILLA CORN 6 INCH</v>
      </c>
      <c r="G61" t="str">
        <v>EACH</v>
      </c>
      <c r="H61">
        <v>2203</v>
      </c>
      <c r="I61">
        <v>0.12</v>
      </c>
      <c r="J61">
        <v>264.36</v>
      </c>
    </row>
    <row r="62">
      <c r="A62" t="str">
        <v>TBA Market 1</v>
      </c>
      <c r="B62" t="str">
        <v>TBA Area 22</v>
      </c>
      <c r="C62" t="str">
        <v>3811</v>
      </c>
      <c r="D62" t="str">
        <v>3811 Chirnside Park</v>
      </c>
      <c r="E62" t="str">
        <v>37893</v>
      </c>
      <c r="F62" t="str">
        <v>BAG CRUNCHWRAP</v>
      </c>
      <c r="G62" t="str">
        <v>EACH</v>
      </c>
      <c r="H62">
        <v>2351</v>
      </c>
      <c r="I62">
        <v>0.03</v>
      </c>
      <c r="J62">
        <v>70.53</v>
      </c>
    </row>
    <row r="63">
      <c r="A63" t="str">
        <v>TBA Market 1</v>
      </c>
      <c r="B63" t="str">
        <v>TBA Area 22</v>
      </c>
      <c r="C63" t="str">
        <v>3811</v>
      </c>
      <c r="D63" t="str">
        <v>3811 Chirnside Park</v>
      </c>
      <c r="E63" t="str">
        <v>37895</v>
      </c>
      <c r="F63" t="str">
        <v>FLATBREAD</v>
      </c>
      <c r="G63" t="str">
        <v>EACH</v>
      </c>
      <c r="H63">
        <v>682</v>
      </c>
      <c r="I63">
        <v>0.37</v>
      </c>
      <c r="J63">
        <v>252.34</v>
      </c>
    </row>
    <row r="64">
      <c r="A64" t="str">
        <v>TBA Market 1</v>
      </c>
      <c r="B64" t="str">
        <v>TBA Area 22</v>
      </c>
      <c r="C64" t="str">
        <v>3811</v>
      </c>
      <c r="D64" t="str">
        <v>3811 Chirnside Park</v>
      </c>
      <c r="E64" t="str">
        <v>37897</v>
      </c>
      <c r="F64" t="str">
        <v>CHURROS MINI</v>
      </c>
      <c r="G64" t="str">
        <v>EACH</v>
      </c>
      <c r="H64">
        <v>224</v>
      </c>
      <c r="I64">
        <v>0.25</v>
      </c>
      <c r="J64">
        <v>56</v>
      </c>
    </row>
    <row r="65">
      <c r="A65" t="str">
        <v>TBA Market 1</v>
      </c>
      <c r="B65" t="str">
        <v>TBA Area 22</v>
      </c>
      <c r="C65" t="str">
        <v>3811</v>
      </c>
      <c r="D65" t="str">
        <v>3811 Chirnside Park</v>
      </c>
      <c r="E65" t="str">
        <v>37901</v>
      </c>
      <c r="F65" t="str">
        <v>WRAP LARGE WHITE PRINTED</v>
      </c>
      <c r="G65" t="str">
        <v>EACH</v>
      </c>
      <c r="H65">
        <v>2297</v>
      </c>
      <c r="I65">
        <v>0.03</v>
      </c>
      <c r="J65">
        <v>68.91</v>
      </c>
    </row>
    <row r="66">
      <c r="A66" t="str">
        <v>TBA Market 1</v>
      </c>
      <c r="B66" t="str">
        <v>TBA Area 22</v>
      </c>
      <c r="C66" t="str">
        <v>3811</v>
      </c>
      <c r="D66" t="str">
        <v>3811 Chirnside Park</v>
      </c>
      <c r="E66" t="str">
        <v>37907</v>
      </c>
      <c r="F66" t="str">
        <v>SEASONING MEXICAN RICE</v>
      </c>
      <c r="G66" t="str">
        <v>KG</v>
      </c>
      <c r="H66">
        <v>9.35</v>
      </c>
      <c r="I66">
        <v>10.61</v>
      </c>
      <c r="J66">
        <v>99.2035</v>
      </c>
    </row>
    <row r="67">
      <c r="A67" t="str">
        <v>TBA Market 1</v>
      </c>
      <c r="B67" t="str">
        <v>TBA Area 22</v>
      </c>
      <c r="C67" t="str">
        <v>3811</v>
      </c>
      <c r="D67" t="str">
        <v>3811 Chirnside Park</v>
      </c>
      <c r="E67" t="str">
        <v>37909</v>
      </c>
      <c r="F67" t="str">
        <v>SAUCE NACHO CHEESE</v>
      </c>
      <c r="G67" t="str">
        <v>KG</v>
      </c>
      <c r="H67">
        <v>55.38</v>
      </c>
      <c r="I67">
        <v>4.72</v>
      </c>
      <c r="J67">
        <v>261.3936</v>
      </c>
    </row>
    <row r="68">
      <c r="A68" t="str">
        <v>TBA Market 1</v>
      </c>
      <c r="B68" t="str">
        <v>TBA Area 22</v>
      </c>
      <c r="C68" t="str">
        <v>3811</v>
      </c>
      <c r="D68" t="str">
        <v>3811 Chirnside Park</v>
      </c>
      <c r="E68" t="str">
        <v>37911</v>
      </c>
      <c r="F68" t="str">
        <v>CHEESE CHEDD ANGEL HAIR/ S'FINE SHRED</v>
      </c>
      <c r="G68" t="str">
        <v>KG</v>
      </c>
      <c r="H68">
        <v>29.53</v>
      </c>
      <c r="I68">
        <v>10.29</v>
      </c>
      <c r="J68">
        <v>303.8637</v>
      </c>
    </row>
    <row r="69">
      <c r="A69" t="str">
        <v>TBA Market 1</v>
      </c>
      <c r="B69" t="str">
        <v>TBA Area 22</v>
      </c>
      <c r="C69" t="str">
        <v>3811</v>
      </c>
      <c r="D69" t="str">
        <v>3811 Chirnside Park</v>
      </c>
      <c r="E69" t="str">
        <v>37913</v>
      </c>
      <c r="F69" t="str">
        <v>SAUCE PICO DE GALLO 100GM</v>
      </c>
      <c r="G69" t="str">
        <v>KG</v>
      </c>
      <c r="H69">
        <v>5.82</v>
      </c>
      <c r="I69">
        <v>5.49</v>
      </c>
      <c r="J69">
        <v>31.951800000000002</v>
      </c>
    </row>
    <row r="70">
      <c r="A70" t="str">
        <v>TBA Market 1</v>
      </c>
      <c r="B70" t="str">
        <v>TBA Area 22</v>
      </c>
      <c r="C70" t="str">
        <v>3811</v>
      </c>
      <c r="D70" t="str">
        <v>3811 Chirnside Park</v>
      </c>
      <c r="E70" t="str">
        <v>37915</v>
      </c>
      <c r="F70" t="str">
        <v>RICE LONG GRAIN WHITE</v>
      </c>
      <c r="G70" t="str">
        <v>KG</v>
      </c>
      <c r="H70">
        <v>18</v>
      </c>
      <c r="I70">
        <v>1.75</v>
      </c>
      <c r="J70">
        <v>31.5</v>
      </c>
    </row>
    <row r="71">
      <c r="A71" t="str">
        <v>TBA Market 1</v>
      </c>
      <c r="B71" t="str">
        <v>TBA Area 22</v>
      </c>
      <c r="C71" t="str">
        <v>3811</v>
      </c>
      <c r="D71" t="str">
        <v>3811 Chirnside Park</v>
      </c>
      <c r="E71" t="str">
        <v>37921</v>
      </c>
      <c r="F71" t="str">
        <v>WRAP SMALL WHITE PRINTED</v>
      </c>
      <c r="G71" t="str">
        <v>EACH</v>
      </c>
      <c r="H71">
        <v>3389</v>
      </c>
      <c r="I71">
        <v>0.03</v>
      </c>
      <c r="J71">
        <v>101.67</v>
      </c>
    </row>
    <row r="72">
      <c r="A72" t="str">
        <v>TBA Market 1</v>
      </c>
      <c r="B72" t="str">
        <v>TBA Area 22</v>
      </c>
      <c r="C72" t="str">
        <v>3811</v>
      </c>
      <c r="D72" t="str">
        <v>3811 Chirnside Park</v>
      </c>
      <c r="E72" t="str">
        <v>37923</v>
      </c>
      <c r="F72" t="str">
        <v>TORTILLA FLOUR 10.25INCH</v>
      </c>
      <c r="G72" t="str">
        <v>EACH</v>
      </c>
      <c r="H72">
        <v>1199</v>
      </c>
      <c r="I72">
        <v>0.27</v>
      </c>
      <c r="J72">
        <v>323.73</v>
      </c>
    </row>
    <row r="73">
      <c r="A73" t="str">
        <v>TBA Market 1</v>
      </c>
      <c r="B73" t="str">
        <v>TBA Area 22</v>
      </c>
      <c r="C73" t="str">
        <v>3811</v>
      </c>
      <c r="D73" t="str">
        <v>3811 Chirnside Park</v>
      </c>
      <c r="E73" t="str">
        <v>37925</v>
      </c>
      <c r="F73" t="str">
        <v>TORTILLA FLOUR 12INCH</v>
      </c>
      <c r="G73" t="str">
        <v>EACH</v>
      </c>
      <c r="H73">
        <v>821</v>
      </c>
      <c r="I73">
        <v>0.38</v>
      </c>
      <c r="J73">
        <v>311.98</v>
      </c>
    </row>
    <row r="74">
      <c r="A74" t="str">
        <v>TBA Market 1</v>
      </c>
      <c r="B74" t="str">
        <v>TBA Area 22</v>
      </c>
      <c r="C74" t="str">
        <v>3811</v>
      </c>
      <c r="D74" t="str">
        <v>3811 Chirnside Park</v>
      </c>
      <c r="E74" t="str">
        <v>37927</v>
      </c>
      <c r="F74" t="str">
        <v>TORTILLA FLOUR 6.5INCH</v>
      </c>
      <c r="G74" t="str">
        <v>EACH</v>
      </c>
      <c r="H74">
        <v>639</v>
      </c>
      <c r="I74">
        <v>0.14</v>
      </c>
      <c r="J74">
        <v>89.46000000000002</v>
      </c>
    </row>
    <row r="75">
      <c r="A75" t="str">
        <v>TBA Market 1</v>
      </c>
      <c r="B75" t="str">
        <v>TBA Area 22</v>
      </c>
      <c r="C75" t="str">
        <v>3811</v>
      </c>
      <c r="D75" t="str">
        <v>3811 Chirnside Park</v>
      </c>
      <c r="E75" t="str">
        <v>37987</v>
      </c>
      <c r="F75" t="str">
        <v>BAG TAKEAWAY BROWN SMALL</v>
      </c>
      <c r="G75" t="str">
        <v>EACH</v>
      </c>
      <c r="H75">
        <v>-966.37</v>
      </c>
      <c r="I75">
        <v>0.05</v>
      </c>
      <c r="J75">
        <v>-48.3185</v>
      </c>
    </row>
    <row r="76">
      <c r="A76" t="str">
        <v>TBA Market 1</v>
      </c>
      <c r="B76" t="str">
        <v>TBA Area 22</v>
      </c>
      <c r="C76" t="str">
        <v>3811</v>
      </c>
      <c r="D76" t="str">
        <v>3811 Chirnside Park</v>
      </c>
      <c r="E76" t="str">
        <v>37989</v>
      </c>
      <c r="F76" t="str">
        <v>BAG TAKEAWAY BROWN MEDIUM</v>
      </c>
      <c r="G76" t="str">
        <v>EACH</v>
      </c>
      <c r="H76">
        <v>1939.39</v>
      </c>
      <c r="I76">
        <v>0.05</v>
      </c>
      <c r="J76">
        <v>96.96950000000001</v>
      </c>
    </row>
    <row r="77">
      <c r="A77" t="str">
        <v>TBA Market 1</v>
      </c>
      <c r="B77" t="str">
        <v>TBA Area 22</v>
      </c>
      <c r="C77" t="str">
        <v>3811</v>
      </c>
      <c r="D77" t="str">
        <v>3811 Chirnside Park</v>
      </c>
      <c r="E77" t="str">
        <v>37991</v>
      </c>
      <c r="F77" t="str">
        <v>BAG TAKEAWAY BROWN LARGE 2</v>
      </c>
      <c r="G77" t="str">
        <v>EACH</v>
      </c>
      <c r="H77">
        <v>338.61</v>
      </c>
      <c r="I77">
        <v>0.16</v>
      </c>
      <c r="J77">
        <v>54.177600000000005</v>
      </c>
    </row>
    <row r="78">
      <c r="A78" t="str">
        <v>TBA Market 1</v>
      </c>
      <c r="B78" t="str">
        <v>TBA Area 22</v>
      </c>
      <c r="C78" t="str">
        <v>3811</v>
      </c>
      <c r="D78" t="str">
        <v>3811 Chirnside Park</v>
      </c>
      <c r="E78" t="str">
        <v>37993</v>
      </c>
      <c r="F78" t="str">
        <v>BAG CHIPS REGULAR</v>
      </c>
      <c r="G78" t="str">
        <v>EACH</v>
      </c>
      <c r="H78">
        <v>4182</v>
      </c>
      <c r="I78">
        <v>0.01</v>
      </c>
      <c r="J78">
        <v>41.82</v>
      </c>
    </row>
    <row r="79">
      <c r="A79" t="str">
        <v>TBA Market 1</v>
      </c>
      <c r="B79" t="str">
        <v>TBA Area 22</v>
      </c>
      <c r="C79" t="str">
        <v>3811</v>
      </c>
      <c r="D79" t="str">
        <v>3811 Chirnside Park</v>
      </c>
      <c r="E79" t="str">
        <v>37995</v>
      </c>
      <c r="F79" t="str">
        <v>BAG CHIPS LARGE</v>
      </c>
      <c r="G79" t="str">
        <v>EACH</v>
      </c>
      <c r="H79">
        <v>6211</v>
      </c>
      <c r="I79">
        <v>0.01</v>
      </c>
      <c r="J79">
        <v>62.11</v>
      </c>
    </row>
    <row r="80">
      <c r="A80" t="str">
        <v>TBA Market 1</v>
      </c>
      <c r="B80" t="str">
        <v>TBA Area 22</v>
      </c>
      <c r="C80" t="str">
        <v>3811</v>
      </c>
      <c r="D80" t="str">
        <v>3811 Chirnside Park</v>
      </c>
      <c r="E80" t="str">
        <v>37997</v>
      </c>
      <c r="F80" t="str">
        <v>BAG NACHO CHIPS LARGE</v>
      </c>
      <c r="G80" t="str">
        <v>EACH</v>
      </c>
      <c r="H80">
        <v>1579</v>
      </c>
      <c r="I80">
        <v>0.03</v>
      </c>
      <c r="J80">
        <v>47.37</v>
      </c>
    </row>
    <row r="81">
      <c r="A81" t="str">
        <v>TBA Market 1</v>
      </c>
      <c r="B81" t="str">
        <v>TBA Area 22</v>
      </c>
      <c r="C81" t="str">
        <v>3811</v>
      </c>
      <c r="D81" t="str">
        <v>3811 Chirnside Park</v>
      </c>
      <c r="E81" t="str">
        <v>37999</v>
      </c>
      <c r="F81" t="str">
        <v>WRAP WASTE WHITE UNPRINTED</v>
      </c>
      <c r="G81" t="str">
        <v>EACH</v>
      </c>
      <c r="H81">
        <v>7733</v>
      </c>
      <c r="I81">
        <v>0.01</v>
      </c>
      <c r="J81">
        <v>77.33</v>
      </c>
    </row>
    <row r="82">
      <c r="A82" t="str">
        <v>TBA Market 1</v>
      </c>
      <c r="B82" t="str">
        <v>TBA Area 22</v>
      </c>
      <c r="C82" t="str">
        <v>3811</v>
      </c>
      <c r="D82" t="str">
        <v>3811 Chirnside Park</v>
      </c>
      <c r="E82" t="str">
        <v>38082</v>
      </c>
      <c r="F82" t="str">
        <v>BAG MULTIPURPOSE</v>
      </c>
      <c r="G82" t="str">
        <v>EACH</v>
      </c>
      <c r="H82">
        <v>7000</v>
      </c>
      <c r="I82">
        <v>0.01</v>
      </c>
      <c r="J82">
        <v>70</v>
      </c>
    </row>
    <row r="83">
      <c r="A83" t="str">
        <v>TBA Market 1</v>
      </c>
      <c r="B83" t="str">
        <v>TBA Area 22</v>
      </c>
      <c r="C83" t="str">
        <v>3811</v>
      </c>
      <c r="D83" t="str">
        <v>3811 Chirnside Park</v>
      </c>
      <c r="E83" t="str">
        <v>38239</v>
      </c>
      <c r="F83" t="str">
        <v>DRINK DARE ICED COFFEE DOUBLE</v>
      </c>
      <c r="G83" t="str">
        <v>EACH</v>
      </c>
      <c r="H83">
        <v>7</v>
      </c>
      <c r="I83">
        <v>2.37</v>
      </c>
      <c r="J83">
        <v>16.59</v>
      </c>
    </row>
    <row r="84">
      <c r="A84" t="str">
        <v>TBA Market 1</v>
      </c>
      <c r="B84" t="str">
        <v>TBA Area 22</v>
      </c>
      <c r="C84" t="str">
        <v>3811</v>
      </c>
      <c r="D84" t="str">
        <v>3811 Chirnside Park</v>
      </c>
      <c r="E84" t="str">
        <v>38352</v>
      </c>
      <c r="F84" t="str">
        <v>CINNAMON TWISTS</v>
      </c>
      <c r="G84" t="str">
        <v>KG</v>
      </c>
      <c r="H84">
        <v>18.3</v>
      </c>
      <c r="I84">
        <v>5</v>
      </c>
      <c r="J84">
        <v>91.5</v>
      </c>
    </row>
    <row r="85">
      <c r="A85" t="str">
        <v>TBA Market 1</v>
      </c>
      <c r="B85" t="str">
        <v>TBA Area 22</v>
      </c>
      <c r="C85" t="str">
        <v>3811</v>
      </c>
      <c r="D85" t="str">
        <v>3811 Chirnside Park</v>
      </c>
      <c r="E85" t="str">
        <v>38372</v>
      </c>
      <c r="F85" t="str">
        <v>TB TACO SHELLS (FINISHED PRODUCT)</v>
      </c>
      <c r="G85" t="str">
        <v>EACH</v>
      </c>
      <c r="H85">
        <v>0</v>
      </c>
      <c r="I85">
        <v>0</v>
      </c>
      <c r="J85">
        <v>0</v>
      </c>
    </row>
    <row r="86">
      <c r="A86" t="str">
        <v>TBA Market 1</v>
      </c>
      <c r="B86" t="str">
        <v>TBA Area 22</v>
      </c>
      <c r="C86" t="str">
        <v>3811</v>
      </c>
      <c r="D86" t="str">
        <v>3811 Chirnside Park</v>
      </c>
      <c r="E86" t="str">
        <v>38375</v>
      </c>
      <c r="F86" t="str">
        <v>TB LIME SLICES (FINISHED PRODUCT)</v>
      </c>
      <c r="G86" t="str">
        <v>EACH</v>
      </c>
      <c r="H86">
        <v>0</v>
      </c>
      <c r="I86">
        <v>0</v>
      </c>
      <c r="J86">
        <v>0</v>
      </c>
    </row>
    <row r="87">
      <c r="A87" t="str">
        <v>TBA Market 1</v>
      </c>
      <c r="B87" t="str">
        <v>TBA Area 22</v>
      </c>
      <c r="C87" t="str">
        <v>3811</v>
      </c>
      <c r="D87" t="str">
        <v>3811 Chirnside Park</v>
      </c>
      <c r="E87" t="str">
        <v>38414</v>
      </c>
      <c r="F87" t="str">
        <v>SAUCE ZESTY RANCH 1</v>
      </c>
      <c r="G87" t="str">
        <v>KG</v>
      </c>
      <c r="H87">
        <v>33.93</v>
      </c>
      <c r="I87">
        <v>6.86</v>
      </c>
      <c r="J87">
        <v>232.75979999999998</v>
      </c>
    </row>
    <row r="88">
      <c r="A88" t="str">
        <v>TBA Market 1</v>
      </c>
      <c r="B88" t="str">
        <v>TBA Area 22</v>
      </c>
      <c r="C88" t="str">
        <v>3811</v>
      </c>
      <c r="D88" t="str">
        <v>3811 Chirnside Park</v>
      </c>
      <c r="E88" t="str">
        <v>38493</v>
      </c>
      <c r="F88" t="str">
        <v>SAUCE CHIPOTLE MAYO 1</v>
      </c>
      <c r="G88" t="str">
        <v>KG</v>
      </c>
      <c r="H88">
        <v>11.57</v>
      </c>
      <c r="I88">
        <v>7.23</v>
      </c>
      <c r="J88">
        <v>83.6511</v>
      </c>
    </row>
    <row r="89">
      <c r="A89" t="str">
        <v>TBA Market 1</v>
      </c>
      <c r="B89" t="str">
        <v>TBA Area 22</v>
      </c>
      <c r="C89" t="str">
        <v>3811</v>
      </c>
      <c r="D89" t="str">
        <v>3811 Chirnside Park</v>
      </c>
      <c r="E89" t="str">
        <v>38531</v>
      </c>
      <c r="F89" t="str">
        <v>DRINK FCB FREEZE TRAD RASPBERRY 10L</v>
      </c>
      <c r="G89" t="str">
        <v>LITRE</v>
      </c>
      <c r="H89">
        <v>19.87</v>
      </c>
      <c r="I89">
        <v>4.27</v>
      </c>
      <c r="J89">
        <v>84.8449</v>
      </c>
    </row>
    <row r="90">
      <c r="A90" t="str">
        <v>TBA Market 1</v>
      </c>
      <c r="B90" t="str">
        <v>TBA Area 22</v>
      </c>
      <c r="C90" t="str">
        <v>3811</v>
      </c>
      <c r="D90" t="str">
        <v>3811 Chirnside Park</v>
      </c>
      <c r="E90" t="str">
        <v>38670</v>
      </c>
      <c r="F90" t="str">
        <v>SALAD CORIANDER CHOPPED</v>
      </c>
      <c r="G90" t="str">
        <v>KG</v>
      </c>
      <c r="H90">
        <v>0.13</v>
      </c>
      <c r="I90">
        <v>76.42</v>
      </c>
      <c r="J90">
        <v>9.9346</v>
      </c>
    </row>
    <row r="91">
      <c r="A91" t="str">
        <v>TBA Market 1</v>
      </c>
      <c r="B91" t="str">
        <v>TBA Area 22</v>
      </c>
      <c r="C91" t="str">
        <v>3811</v>
      </c>
      <c r="D91" t="str">
        <v>3811 Chirnside Park</v>
      </c>
      <c r="E91" t="str">
        <v>38701</v>
      </c>
      <c r="F91" t="str">
        <v>LAVA SAUCE</v>
      </c>
      <c r="G91" t="str">
        <v>KG</v>
      </c>
      <c r="H91">
        <v>14.22</v>
      </c>
      <c r="I91">
        <v>6.67</v>
      </c>
      <c r="J91">
        <v>94.8474</v>
      </c>
    </row>
    <row r="92">
      <c r="A92" t="str">
        <v>TBA Market 1</v>
      </c>
      <c r="B92" t="str">
        <v>TBA Area 22</v>
      </c>
      <c r="C92" t="str">
        <v>3811</v>
      </c>
      <c r="D92" t="str">
        <v>3811 Chirnside Park</v>
      </c>
      <c r="E92" t="str">
        <v>38704</v>
      </c>
      <c r="F92" t="str">
        <v>DRINK LIPTON ICE TEA LEMON 500ML</v>
      </c>
      <c r="G92" t="str">
        <v>EACH</v>
      </c>
      <c r="H92">
        <v>17</v>
      </c>
      <c r="I92">
        <v>1.1</v>
      </c>
      <c r="J92">
        <v>18.700000000000003</v>
      </c>
    </row>
    <row r="93">
      <c r="A93" t="str">
        <v>TBA Market 1</v>
      </c>
      <c r="B93" t="str">
        <v>TBA Area 22</v>
      </c>
      <c r="C93" t="str">
        <v>3811</v>
      </c>
      <c r="D93" t="str">
        <v>3811 Chirnside Park</v>
      </c>
      <c r="E93" t="str">
        <v>38705</v>
      </c>
      <c r="F93" t="str">
        <v>DRINK LIPTON ICE TEA PEACH</v>
      </c>
      <c r="G93" t="str">
        <v>EACH</v>
      </c>
      <c r="H93">
        <v>41</v>
      </c>
      <c r="I93">
        <v>1.1</v>
      </c>
      <c r="J93">
        <v>45.10000000000001</v>
      </c>
    </row>
    <row r="94">
      <c r="A94" t="str">
        <v>TBA Market 1</v>
      </c>
      <c r="B94" t="str">
        <v>TBA Area 22</v>
      </c>
      <c r="C94" t="str">
        <v>3811</v>
      </c>
      <c r="D94" t="str">
        <v>3811 Chirnside Park</v>
      </c>
      <c r="E94" t="str">
        <v>38722</v>
      </c>
      <c r="F94" t="str">
        <v>SAUCE CREAMY JALAPENO</v>
      </c>
      <c r="G94" t="str">
        <v>KG</v>
      </c>
      <c r="H94">
        <v>11.9</v>
      </c>
      <c r="I94">
        <v>6.31</v>
      </c>
      <c r="J94">
        <v>75.089</v>
      </c>
    </row>
    <row r="95">
      <c r="A95" t="str">
        <v>TBA Market 1</v>
      </c>
      <c r="B95" t="str">
        <v>TBA Area 22</v>
      </c>
      <c r="C95" t="str">
        <v>3811</v>
      </c>
      <c r="D95" t="str">
        <v>3811 Chirnside Park</v>
      </c>
      <c r="E95" t="str">
        <v>38769</v>
      </c>
      <c r="F95" t="str">
        <v>SAUCE SACHET MILD</v>
      </c>
      <c r="G95" t="str">
        <v>EACH</v>
      </c>
      <c r="H95">
        <v>0</v>
      </c>
      <c r="I95">
        <v>0</v>
      </c>
      <c r="J95">
        <v>0</v>
      </c>
    </row>
    <row r="96">
      <c r="A96" t="str">
        <v>TBA Market 1</v>
      </c>
      <c r="B96" t="str">
        <v>TBA Area 22</v>
      </c>
      <c r="C96" t="str">
        <v>3811</v>
      </c>
      <c r="D96" t="str">
        <v>3811 Chirnside Park</v>
      </c>
      <c r="E96" t="str">
        <v>38892</v>
      </c>
      <c r="F96" t="str">
        <v>BIG BELL BOX 2</v>
      </c>
      <c r="G96" t="str">
        <v>EACH</v>
      </c>
      <c r="H96">
        <v>160.5</v>
      </c>
      <c r="I96">
        <v>0.22</v>
      </c>
      <c r="J96">
        <v>35.31</v>
      </c>
    </row>
    <row r="97">
      <c r="A97" t="str">
        <v>TBA Market 1</v>
      </c>
      <c r="B97" t="str">
        <v>TBA Area 22</v>
      </c>
      <c r="C97" t="str">
        <v>3811</v>
      </c>
      <c r="D97" t="str">
        <v>3811 Chirnside Park</v>
      </c>
      <c r="E97" t="str">
        <v>39139</v>
      </c>
      <c r="F97" t="str">
        <v>MEAT CHICKEN COOKED</v>
      </c>
      <c r="G97" t="str">
        <v>KG</v>
      </c>
      <c r="H97">
        <v>38.27</v>
      </c>
      <c r="I97">
        <v>13.59</v>
      </c>
      <c r="J97">
        <v>520.0893000000001</v>
      </c>
    </row>
    <row r="98">
      <c r="A98" t="str">
        <v>TBA Market 1</v>
      </c>
      <c r="B98" t="str">
        <v>TBA Area 22</v>
      </c>
      <c r="C98" t="str">
        <v>3811</v>
      </c>
      <c r="D98" t="str">
        <v>3811 Chirnside Park</v>
      </c>
      <c r="E98" t="str">
        <v>39185</v>
      </c>
      <c r="F98" t="str">
        <v>STRAW PAPER KFC</v>
      </c>
      <c r="G98" t="str">
        <v>EACH</v>
      </c>
      <c r="H98">
        <v>3896</v>
      </c>
      <c r="I98">
        <v>0.01</v>
      </c>
      <c r="J98">
        <v>38.96</v>
      </c>
    </row>
    <row r="99">
      <c r="A99" t="str">
        <v>TBA Market 1</v>
      </c>
      <c r="B99" t="str">
        <v>TBA Area 22</v>
      </c>
      <c r="C99" t="str">
        <v>3811</v>
      </c>
      <c r="D99" t="str">
        <v>3811 Chirnside Park</v>
      </c>
      <c r="E99" t="str">
        <v>39520</v>
      </c>
      <c r="F99" t="str">
        <v>MEAT BEEF COOKED</v>
      </c>
      <c r="G99" t="str">
        <v>KG</v>
      </c>
      <c r="H99">
        <v>184</v>
      </c>
      <c r="I99">
        <v>11.7</v>
      </c>
      <c r="J99">
        <v>2152.8</v>
      </c>
    </row>
    <row r="100">
      <c r="A100" t="str">
        <v>TBA Market 1</v>
      </c>
      <c r="B100" t="str">
        <v>TBA Area 22</v>
      </c>
      <c r="C100" t="str">
        <v>3811</v>
      </c>
      <c r="D100" t="str">
        <v>3811 Chirnside Park</v>
      </c>
      <c r="E100" t="str">
        <v>39744</v>
      </c>
      <c r="F100" t="str">
        <v>DIPPING CUP 60ML</v>
      </c>
      <c r="G100" t="str">
        <v>EACH</v>
      </c>
      <c r="H100">
        <v>905</v>
      </c>
      <c r="I100">
        <v>0.05</v>
      </c>
      <c r="J100">
        <v>45.25</v>
      </c>
    </row>
    <row r="101">
      <c r="A101" t="str">
        <v>TBA Market 1</v>
      </c>
      <c r="B101" t="str">
        <v>TBA Area 22</v>
      </c>
      <c r="C101" t="str">
        <v>3811</v>
      </c>
      <c r="D101" t="str">
        <v>3811 Chirnside Park</v>
      </c>
      <c r="E101" t="str">
        <v>39746</v>
      </c>
      <c r="F101" t="str">
        <v>LID CLEAR 60ML DIPPING CUP</v>
      </c>
      <c r="G101" t="str">
        <v>EACH</v>
      </c>
      <c r="H101">
        <v>1155</v>
      </c>
      <c r="I101">
        <v>0.03</v>
      </c>
      <c r="J101">
        <v>34.65</v>
      </c>
    </row>
    <row r="102">
      <c r="A102" t="str">
        <v>TBA Market 1</v>
      </c>
      <c r="B102" t="str">
        <v>TBA Area 22</v>
      </c>
      <c r="C102" t="str">
        <v>3811</v>
      </c>
      <c r="D102" t="str">
        <v>3811 Chirnside Park</v>
      </c>
      <c r="E102" t="str">
        <v>39769</v>
      </c>
      <c r="F102" t="str">
        <v>WOODEN FORK</v>
      </c>
      <c r="G102" t="str">
        <v>EACH</v>
      </c>
      <c r="H102">
        <v>-17</v>
      </c>
      <c r="I102">
        <v>0.03</v>
      </c>
      <c r="J102">
        <v>-0.51</v>
      </c>
    </row>
    <row r="103">
      <c r="A103" t="str">
        <v>TBA Market 1</v>
      </c>
      <c r="B103" t="str">
        <v>TBA Area 22</v>
      </c>
      <c r="C103" t="str">
        <v>3811</v>
      </c>
      <c r="D103" t="str">
        <v>3811 Chirnside Park</v>
      </c>
      <c r="E103" t="str">
        <v>40303</v>
      </c>
      <c r="F103" t="str">
        <v>CHICKEN CRISPY</v>
      </c>
      <c r="G103" t="str">
        <v>EACH</v>
      </c>
      <c r="H103">
        <v>583</v>
      </c>
      <c r="I103">
        <v>0.75</v>
      </c>
      <c r="J103">
        <v>437.25</v>
      </c>
    </row>
    <row r="104">
      <c r="A104" t="str">
        <v>Grand Total:</v>
      </c>
      <c r="B104">
        <v>11757.675499999998</v>
      </c>
    </row>
    <row r="105">
      <c r="A105" t="str">
        <v>TacoBellAU - Strictly Confidential</v>
      </c>
    </row>
  </sheetData>
  <pageMargins left="0.7" right="0.7" top="0.75" bottom="0.75" header="0.3" footer="0.3"/>
  <ignoredErrors>
    <ignoredError numberStoredAsText="1" sqref="A1:K14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00"/>
  <sheetViews>
    <sheetView workbookViewId="0" rightToLeft="0"/>
  </sheetViews>
  <sheetData>
    <row r="1">
      <c r="A1" t="str">
        <v>TBA Market 1</v>
      </c>
      <c r="B1" t="str">
        <v>TBA Area 22</v>
      </c>
      <c r="C1" t="str">
        <v>3811</v>
      </c>
      <c r="D1" t="str">
        <v>3811 Chirnside Park</v>
      </c>
      <c r="E1" t="str">
        <v>AMERICOLD Vic</v>
      </c>
      <c r="F1">
        <v>1621542</v>
      </c>
      <c r="G1">
        <v>46224.84888888889</v>
      </c>
      <c r="H1" t="str">
        <v>100457</v>
      </c>
      <c r="I1" t="str">
        <v>SAUCE FIRE 10X1KG</v>
      </c>
      <c r="J1" t="str">
        <v>CARTON-10x1KG</v>
      </c>
      <c r="K1">
        <v>74.2</v>
      </c>
      <c r="L1">
        <v>1</v>
      </c>
    </row>
    <row r="2">
      <c r="A2" t="str">
        <v>TBA Market 1</v>
      </c>
      <c r="B2" t="str">
        <v>TBA Area 22</v>
      </c>
      <c r="C2" t="str">
        <v>3811</v>
      </c>
      <c r="D2" t="str">
        <v>3811 Chirnside Park</v>
      </c>
      <c r="E2" t="str">
        <v>AMERICOLD Vic</v>
      </c>
      <c r="F2">
        <v>1621527</v>
      </c>
      <c r="G2">
        <v>46225.208333333336</v>
      </c>
      <c r="H2" t="str">
        <v>100482</v>
      </c>
      <c r="I2" t="str">
        <v>GLOVE NITRILE LARGE10X100</v>
      </c>
      <c r="J2" t="str">
        <v>CARTON-10x100</v>
      </c>
      <c r="K2">
        <v>38</v>
      </c>
      <c r="L2">
        <v>2</v>
      </c>
    </row>
    <row r="3">
      <c r="A3" t="str">
        <v>TBA Market 1</v>
      </c>
      <c r="B3" t="str">
        <v>TBA Area 22</v>
      </c>
      <c r="C3" t="str">
        <v>3811</v>
      </c>
      <c r="D3" t="str">
        <v>3811 Chirnside Park</v>
      </c>
      <c r="E3" t="str">
        <v>AMERICOLD Vic</v>
      </c>
      <c r="F3">
        <v>1621527</v>
      </c>
      <c r="G3">
        <v>46225.208333333336</v>
      </c>
      <c r="H3" t="str">
        <v>100483</v>
      </c>
      <c r="I3" t="str">
        <v>GLOVE NITRILE XLARGE 10X100</v>
      </c>
      <c r="J3" t="str">
        <v>CARTON-10x100</v>
      </c>
      <c r="K3">
        <v>38</v>
      </c>
      <c r="L3">
        <v>1</v>
      </c>
    </row>
    <row r="4">
      <c r="A4" t="str">
        <v>TBA Market 1</v>
      </c>
      <c r="B4" t="str">
        <v>TBA Area 22</v>
      </c>
      <c r="C4" t="str">
        <v>3811</v>
      </c>
      <c r="D4" t="str">
        <v>3811 Chirnside Park</v>
      </c>
      <c r="E4" t="str">
        <v>AMERICOLD Vic</v>
      </c>
      <c r="F4">
        <v>1621540</v>
      </c>
      <c r="G4">
        <v>46225.208333333336</v>
      </c>
      <c r="H4" t="str">
        <v>14791</v>
      </c>
      <c r="I4" t="str">
        <v>GUACAMOLE 6x1.5KG</v>
      </c>
      <c r="J4" t="str">
        <v>CARTON-6x1.5KG</v>
      </c>
      <c r="K4">
        <v>88.07</v>
      </c>
      <c r="L4">
        <v>1</v>
      </c>
    </row>
    <row r="5">
      <c r="A5" t="str">
        <v>TBA Market 1</v>
      </c>
      <c r="B5" t="str">
        <v>TBA Area 22</v>
      </c>
      <c r="C5" t="str">
        <v>3811</v>
      </c>
      <c r="D5" t="str">
        <v>3811 Chirnside Park</v>
      </c>
      <c r="E5" t="str">
        <v>AMERICOLD Vic</v>
      </c>
      <c r="F5">
        <v>1621527</v>
      </c>
      <c r="G5">
        <v>46225.208333333336</v>
      </c>
      <c r="H5" t="str">
        <v>37870</v>
      </c>
      <c r="I5" t="str">
        <v>TB SAUCE CHILLI MILD 10X1KG</v>
      </c>
      <c r="J5" t="str">
        <v>CARTON-10x1KG</v>
      </c>
      <c r="K5">
        <v>54.1</v>
      </c>
      <c r="L5">
        <v>1</v>
      </c>
    </row>
    <row r="6">
      <c r="A6" t="str">
        <v>TBA Market 1</v>
      </c>
      <c r="B6" t="str">
        <v>TBA Area 22</v>
      </c>
      <c r="C6" t="str">
        <v>3811</v>
      </c>
      <c r="D6" t="str">
        <v>3811 Chirnside Park</v>
      </c>
      <c r="E6" t="str">
        <v>AMERICOLD Vic</v>
      </c>
      <c r="F6">
        <v>1621540</v>
      </c>
      <c r="G6">
        <v>46225.208333333336</v>
      </c>
      <c r="H6" t="str">
        <v>37891</v>
      </c>
      <c r="I6" t="str">
        <v>TB TORTILLA CORN 6 INCH 12x36EA</v>
      </c>
      <c r="J6" t="str">
        <v>CARTON-12x36</v>
      </c>
      <c r="K6">
        <v>50.12</v>
      </c>
      <c r="L6">
        <v>4</v>
      </c>
    </row>
    <row r="7">
      <c r="A7" t="str">
        <v>TBA Market 1</v>
      </c>
      <c r="B7" t="str">
        <v>TBA Area 22</v>
      </c>
      <c r="C7" t="str">
        <v>3811</v>
      </c>
      <c r="D7" t="str">
        <v>3811 Chirnside Park</v>
      </c>
      <c r="E7" t="str">
        <v>AMERICOLD Vic</v>
      </c>
      <c r="F7">
        <v>1621540</v>
      </c>
      <c r="G7">
        <v>46225.208333333336</v>
      </c>
      <c r="H7" t="str">
        <v>37897</v>
      </c>
      <c r="I7" t="str">
        <v>TB CHURROS MINI 80EA</v>
      </c>
      <c r="J7" t="str">
        <v>CARTON-80</v>
      </c>
      <c r="K7">
        <v>20</v>
      </c>
      <c r="L7">
        <v>1</v>
      </c>
    </row>
    <row r="8">
      <c r="A8" t="str">
        <v>TBA Market 1</v>
      </c>
      <c r="B8" t="str">
        <v>TBA Area 22</v>
      </c>
      <c r="C8" t="str">
        <v>3811</v>
      </c>
      <c r="D8" t="str">
        <v>3811 Chirnside Park</v>
      </c>
      <c r="E8" t="str">
        <v>AMERICOLD Vic</v>
      </c>
      <c r="F8">
        <v>1621527</v>
      </c>
      <c r="G8">
        <v>46225.208333333336</v>
      </c>
      <c r="H8" t="str">
        <v>37901</v>
      </c>
      <c r="I8" t="str">
        <v>TB WRAP LARGE WHITE PRINTED 3000EA</v>
      </c>
      <c r="J8" t="str">
        <v>CARTON-3000</v>
      </c>
      <c r="K8">
        <v>104.85</v>
      </c>
      <c r="L8">
        <v>1</v>
      </c>
    </row>
    <row r="9">
      <c r="A9" t="str">
        <v>TBA Market 1</v>
      </c>
      <c r="B9" t="str">
        <v>TBA Area 22</v>
      </c>
      <c r="C9" t="str">
        <v>3811</v>
      </c>
      <c r="D9" t="str">
        <v>3811 Chirnside Park</v>
      </c>
      <c r="E9" t="str">
        <v>AMERICOLD Vic</v>
      </c>
      <c r="F9">
        <v>1621543</v>
      </c>
      <c r="G9">
        <v>46224.84945601852</v>
      </c>
      <c r="H9" t="str">
        <v>37909</v>
      </c>
      <c r="I9" t="str">
        <v>TB SAUCE NACHO CHEESE 6X1.8KG</v>
      </c>
      <c r="J9" t="str">
        <v>CARTON-6x1.8KG</v>
      </c>
      <c r="K9">
        <v>50.98</v>
      </c>
      <c r="L9">
        <v>2</v>
      </c>
    </row>
    <row r="10">
      <c r="A10" t="str">
        <v>TBA Market 1</v>
      </c>
      <c r="B10" t="str">
        <v>TBA Area 22</v>
      </c>
      <c r="C10" t="str">
        <v>3811</v>
      </c>
      <c r="D10" t="str">
        <v>3811 Chirnside Park</v>
      </c>
      <c r="E10" t="str">
        <v>AMERICOLD Vic</v>
      </c>
      <c r="F10">
        <v>1621528</v>
      </c>
      <c r="G10">
        <v>46225.208333333336</v>
      </c>
      <c r="H10" t="str">
        <v>37909</v>
      </c>
      <c r="I10" t="str">
        <v>TB SAUCE NACHO CHEESE 6X1.8KG</v>
      </c>
      <c r="J10" t="str">
        <v>CARTON-6x1.8KG</v>
      </c>
      <c r="K10">
        <v>50.98</v>
      </c>
      <c r="L10">
        <v>3</v>
      </c>
    </row>
    <row r="11">
      <c r="A11" t="str">
        <v>TBA Market 1</v>
      </c>
      <c r="B11" t="str">
        <v>TBA Area 22</v>
      </c>
      <c r="C11" t="str">
        <v>3811</v>
      </c>
      <c r="D11" t="str">
        <v>3811 Chirnside Park</v>
      </c>
      <c r="E11" t="str">
        <v>AMERICOLD Vic</v>
      </c>
      <c r="F11">
        <v>1621542</v>
      </c>
      <c r="G11">
        <v>46224.84888888889</v>
      </c>
      <c r="H11" t="str">
        <v>37915A</v>
      </c>
      <c r="I11" t="str">
        <v>RICE LONG GRAIN WHITE 10KG</v>
      </c>
      <c r="J11" t="str">
        <v>BAG-10KG</v>
      </c>
      <c r="K11">
        <v>17.5</v>
      </c>
      <c r="L11">
        <v>4</v>
      </c>
    </row>
    <row r="12">
      <c r="A12" t="str">
        <v>TBA Market 1</v>
      </c>
      <c r="B12" t="str">
        <v>TBA Area 22</v>
      </c>
      <c r="C12" t="str">
        <v>3811</v>
      </c>
      <c r="D12" t="str">
        <v>3811 Chirnside Park</v>
      </c>
      <c r="E12" t="str">
        <v>AMERICOLD Vic</v>
      </c>
      <c r="F12">
        <v>1621540</v>
      </c>
      <c r="G12">
        <v>46225.208333333336</v>
      </c>
      <c r="H12" t="str">
        <v>37923</v>
      </c>
      <c r="I12" t="str">
        <v>TB TORTILLA FLOUR 10.25INCH 12x12EA</v>
      </c>
      <c r="J12" t="str">
        <v>CARTON-12x12</v>
      </c>
      <c r="K12">
        <v>39.5</v>
      </c>
      <c r="L12">
        <v>6</v>
      </c>
    </row>
    <row r="13">
      <c r="A13" t="str">
        <v>TBA Market 1</v>
      </c>
      <c r="B13" t="str">
        <v>TBA Area 22</v>
      </c>
      <c r="C13" t="str">
        <v>3811</v>
      </c>
      <c r="D13" t="str">
        <v>3811 Chirnside Park</v>
      </c>
      <c r="E13" t="str">
        <v>AMERICOLD Vic</v>
      </c>
      <c r="F13">
        <v>1621540</v>
      </c>
      <c r="G13">
        <v>46225.208333333336</v>
      </c>
      <c r="H13" t="str">
        <v>37925</v>
      </c>
      <c r="I13" t="str">
        <v>TB TORTILLA FLOUR 12INCH 12x12EA</v>
      </c>
      <c r="J13" t="str">
        <v>CARTON-12x12</v>
      </c>
      <c r="K13">
        <v>54.18</v>
      </c>
      <c r="L13">
        <v>7</v>
      </c>
    </row>
    <row r="14">
      <c r="A14" t="str">
        <v>TBA Market 1</v>
      </c>
      <c r="B14" t="str">
        <v>TBA Area 22</v>
      </c>
      <c r="C14" t="str">
        <v>3811</v>
      </c>
      <c r="D14" t="str">
        <v>3811 Chirnside Park</v>
      </c>
      <c r="E14" t="str">
        <v>AMERICOLD Vic</v>
      </c>
      <c r="F14">
        <v>1621540</v>
      </c>
      <c r="G14">
        <v>46225.208333333336</v>
      </c>
      <c r="H14" t="str">
        <v>37927</v>
      </c>
      <c r="I14" t="str">
        <v>TB TORTILLA FLOUR 6.5INCH 24x12EA</v>
      </c>
      <c r="J14" t="str">
        <v>CARTON-24x12</v>
      </c>
      <c r="K14">
        <v>41.56</v>
      </c>
      <c r="L14">
        <v>2</v>
      </c>
    </row>
    <row r="15">
      <c r="A15" t="str">
        <v>TBA Market 1</v>
      </c>
      <c r="B15" t="str">
        <v>TBA Area 22</v>
      </c>
      <c r="C15" t="str">
        <v>3811</v>
      </c>
      <c r="D15" t="str">
        <v>3811 Chirnside Park</v>
      </c>
      <c r="E15" t="str">
        <v>AMERICOLD Vic</v>
      </c>
      <c r="F15">
        <v>1621527</v>
      </c>
      <c r="G15">
        <v>46225.208333333336</v>
      </c>
      <c r="H15" t="str">
        <v>37989</v>
      </c>
      <c r="I15" t="str">
        <v>TB BAG TAKEAWAY BROWN MEDIUM 1000EA</v>
      </c>
      <c r="J15" t="str">
        <v>CARTON-1000</v>
      </c>
      <c r="K15">
        <v>49.33</v>
      </c>
      <c r="L15">
        <v>1</v>
      </c>
    </row>
    <row r="16">
      <c r="A16" t="str">
        <v>TBA Market 1</v>
      </c>
      <c r="B16" t="str">
        <v>TBA Area 22</v>
      </c>
      <c r="C16" t="str">
        <v>3811</v>
      </c>
      <c r="D16" t="str">
        <v>3811 Chirnside Park</v>
      </c>
      <c r="E16" t="str">
        <v>AMERICOLD Vic</v>
      </c>
      <c r="F16">
        <v>1621542</v>
      </c>
      <c r="G16">
        <v>46224.84888888889</v>
      </c>
      <c r="H16" t="str">
        <v>37991</v>
      </c>
      <c r="I16" t="str">
        <v>TB BAG TAKEAWAY BROWN LARGE 250EA</v>
      </c>
      <c r="J16" t="str">
        <v>CARTON-250</v>
      </c>
      <c r="K16">
        <v>39.14</v>
      </c>
      <c r="L16">
        <v>1</v>
      </c>
    </row>
    <row r="17">
      <c r="A17" t="str">
        <v>TBA Market 1</v>
      </c>
      <c r="B17" t="str">
        <v>TBA Area 22</v>
      </c>
      <c r="C17" t="str">
        <v>3811</v>
      </c>
      <c r="D17" t="str">
        <v>3811 Chirnside Park</v>
      </c>
      <c r="E17" t="str">
        <v>AMERICOLD Vic</v>
      </c>
      <c r="F17">
        <v>1621527</v>
      </c>
      <c r="G17">
        <v>46225.208333333336</v>
      </c>
      <c r="H17" t="str">
        <v>37991</v>
      </c>
      <c r="I17" t="str">
        <v>TB BAG TAKEAWAY BROWN LARGE 250EA</v>
      </c>
      <c r="J17" t="str">
        <v>CARTON-250</v>
      </c>
      <c r="K17">
        <v>39.14</v>
      </c>
      <c r="L17">
        <v>1</v>
      </c>
    </row>
    <row r="18">
      <c r="A18" t="str">
        <v>TBA Market 1</v>
      </c>
      <c r="B18" t="str">
        <v>TBA Area 22</v>
      </c>
      <c r="C18" t="str">
        <v>3811</v>
      </c>
      <c r="D18" t="str">
        <v>3811 Chirnside Park</v>
      </c>
      <c r="E18" t="str">
        <v>AMERICOLD Vic</v>
      </c>
      <c r="F18">
        <v>1621527</v>
      </c>
      <c r="G18">
        <v>46225.208333333336</v>
      </c>
      <c r="H18" t="str">
        <v>38076</v>
      </c>
      <c r="I18" t="str">
        <v>TOWEL PAPER HAND TORK WHITE 6 ROLLS</v>
      </c>
      <c r="J18" t="str">
        <v>CARTON-6</v>
      </c>
      <c r="K18">
        <v>73.73</v>
      </c>
      <c r="L18">
        <v>1</v>
      </c>
    </row>
    <row r="19">
      <c r="A19" t="str">
        <v>TBA Market 1</v>
      </c>
      <c r="B19" t="str">
        <v>TBA Area 22</v>
      </c>
      <c r="C19" t="str">
        <v>3811</v>
      </c>
      <c r="D19" t="str">
        <v>3811 Chirnside Park</v>
      </c>
      <c r="E19" t="str">
        <v>AMERICOLD Vic</v>
      </c>
      <c r="F19">
        <v>1621527</v>
      </c>
      <c r="G19">
        <v>46225.208333333336</v>
      </c>
      <c r="H19" t="str">
        <v>38163</v>
      </c>
      <c r="I19" t="str">
        <v>TB SAUCE CHOCOLATE DA VINCI 3X2LTR</v>
      </c>
      <c r="J19" t="str">
        <v>CARTON-3x2L</v>
      </c>
      <c r="K19">
        <v>42</v>
      </c>
      <c r="L19">
        <v>1</v>
      </c>
    </row>
    <row r="20">
      <c r="A20" t="str">
        <v>TBA Market 1</v>
      </c>
      <c r="B20" t="str">
        <v>TBA Area 22</v>
      </c>
      <c r="C20" t="str">
        <v>3811</v>
      </c>
      <c r="D20" t="str">
        <v>3811 Chirnside Park</v>
      </c>
      <c r="E20" t="str">
        <v>AMERICOLD Vic</v>
      </c>
      <c r="F20">
        <v>1621540</v>
      </c>
      <c r="G20">
        <v>46225.208333333336</v>
      </c>
      <c r="H20" t="str">
        <v>38246A</v>
      </c>
      <c r="I20" t="str">
        <v>BEANS BLACK COOKED TB 12 x 1KG</v>
      </c>
      <c r="J20" t="str">
        <v>CARTON-12x1KG</v>
      </c>
      <c r="K20">
        <v>63.72</v>
      </c>
      <c r="L20">
        <v>4</v>
      </c>
    </row>
    <row r="21">
      <c r="A21" t="str">
        <v>TBA Market 1</v>
      </c>
      <c r="B21" t="str">
        <v>TBA Area 22</v>
      </c>
      <c r="C21" t="str">
        <v>3811</v>
      </c>
      <c r="D21" t="str">
        <v>3811 Chirnside Park</v>
      </c>
      <c r="E21" t="str">
        <v>AMERICOLD Vic</v>
      </c>
      <c r="F21">
        <v>1621528</v>
      </c>
      <c r="G21">
        <v>46225.208333333336</v>
      </c>
      <c r="H21" t="str">
        <v>38414</v>
      </c>
      <c r="I21" t="str">
        <v>TB SAUCE ZESTY RANCH 15X1KG</v>
      </c>
      <c r="J21" t="str">
        <v>CARTON-15x1KG</v>
      </c>
      <c r="K21">
        <v>102.9</v>
      </c>
      <c r="L21">
        <v>1</v>
      </c>
    </row>
    <row r="22">
      <c r="A22" t="str">
        <v>TBA Market 1</v>
      </c>
      <c r="B22" t="str">
        <v>TBA Area 22</v>
      </c>
      <c r="C22" t="str">
        <v>3811</v>
      </c>
      <c r="D22" t="str">
        <v>3811 Chirnside Park</v>
      </c>
      <c r="E22" t="str">
        <v>AMERICOLD Vic</v>
      </c>
      <c r="F22">
        <v>1621543</v>
      </c>
      <c r="G22">
        <v>46224.84945601852</v>
      </c>
      <c r="H22" t="str">
        <v>38493</v>
      </c>
      <c r="I22" t="str">
        <v>TB SAUCE CHIPOTLE MAYO 15X1KG</v>
      </c>
      <c r="J22" t="str">
        <v>CARTON-15x1KG</v>
      </c>
      <c r="K22">
        <v>108.45</v>
      </c>
      <c r="L22">
        <v>1</v>
      </c>
    </row>
    <row r="23">
      <c r="A23" t="str">
        <v>TBA Market 1</v>
      </c>
      <c r="B23" t="str">
        <v>TBA Area 22</v>
      </c>
      <c r="C23" t="str">
        <v>3811</v>
      </c>
      <c r="D23" t="str">
        <v>3811 Chirnside Park</v>
      </c>
      <c r="E23" t="str">
        <v>AMERICOLD Vic</v>
      </c>
      <c r="F23">
        <v>1621527</v>
      </c>
      <c r="G23">
        <v>46225.208333333336</v>
      </c>
      <c r="H23" t="str">
        <v>38542</v>
      </c>
      <c r="I23" t="str">
        <v>BIN LINER 240L H/DUTY 8X25 EA</v>
      </c>
      <c r="J23" t="str">
        <v>CARTON-8x25</v>
      </c>
      <c r="K23">
        <v>77.72</v>
      </c>
      <c r="L23">
        <v>1</v>
      </c>
    </row>
    <row r="24">
      <c r="A24" t="str">
        <v>TBA Market 1</v>
      </c>
      <c r="B24" t="str">
        <v>TBA Area 22</v>
      </c>
      <c r="C24" t="str">
        <v>3811</v>
      </c>
      <c r="D24" t="str">
        <v>3811 Chirnside Park</v>
      </c>
      <c r="E24" t="str">
        <v>AMERICOLD Vic</v>
      </c>
      <c r="F24">
        <v>1621540</v>
      </c>
      <c r="G24">
        <v>46225.208333333336</v>
      </c>
      <c r="H24" t="str">
        <v>38620</v>
      </c>
      <c r="I24" t="str">
        <v>TB FLATBREAD 12X12EA</v>
      </c>
      <c r="J24" t="str">
        <v>CARTON-24X6</v>
      </c>
      <c r="K24">
        <v>53.08</v>
      </c>
      <c r="L24">
        <v>3</v>
      </c>
    </row>
    <row r="25">
      <c r="A25" t="str">
        <v>TBA Market 1</v>
      </c>
      <c r="B25" t="str">
        <v>TBA Area 22</v>
      </c>
      <c r="C25" t="str">
        <v>3811</v>
      </c>
      <c r="D25" t="str">
        <v>3811 Chirnside Park</v>
      </c>
      <c r="E25" t="str">
        <v>AMERICOLD Vic</v>
      </c>
      <c r="F25">
        <v>1621543</v>
      </c>
      <c r="G25">
        <v>46224.84945601852</v>
      </c>
      <c r="H25" t="str">
        <v>38701</v>
      </c>
      <c r="I25" t="str">
        <v>TB LAVA SAUCE 10X1KG</v>
      </c>
      <c r="J25" t="str">
        <v>CARTON-10x1KG</v>
      </c>
      <c r="K25">
        <v>66.7</v>
      </c>
      <c r="L25">
        <v>1</v>
      </c>
    </row>
    <row r="26">
      <c r="A26" t="str">
        <v>TBA Market 1</v>
      </c>
      <c r="B26" t="str">
        <v>TBA Area 22</v>
      </c>
      <c r="C26" t="str">
        <v>3811</v>
      </c>
      <c r="D26" t="str">
        <v>3811 Chirnside Park</v>
      </c>
      <c r="E26" t="str">
        <v>AMERICOLD Vic</v>
      </c>
      <c r="F26">
        <v>1621542</v>
      </c>
      <c r="G26">
        <v>46224.84888888889</v>
      </c>
      <c r="H26" t="str">
        <v>38890</v>
      </c>
      <c r="I26" t="str">
        <v>TB CUP POSTMIX REGULAR 1000EA NEW</v>
      </c>
      <c r="J26" t="str">
        <v>CARTON-1000</v>
      </c>
      <c r="K26">
        <v>73.32</v>
      </c>
      <c r="L26">
        <v>2</v>
      </c>
    </row>
    <row r="27">
      <c r="A27" t="str">
        <v>TBA Market 1</v>
      </c>
      <c r="B27" t="str">
        <v>TBA Area 22</v>
      </c>
      <c r="C27" t="str">
        <v>3811</v>
      </c>
      <c r="D27" t="str">
        <v>3811 Chirnside Park</v>
      </c>
      <c r="E27" t="str">
        <v>AMERICOLD Vic</v>
      </c>
      <c r="F27">
        <v>1621527</v>
      </c>
      <c r="G27">
        <v>46225.208333333336</v>
      </c>
      <c r="H27" t="str">
        <v>38891</v>
      </c>
      <c r="I27" t="str">
        <v>TB CUP POSTMIX LARGE 1000EA NEW</v>
      </c>
      <c r="J27" t="str">
        <v>CARTON-1000</v>
      </c>
      <c r="K27">
        <v>92.12</v>
      </c>
      <c r="L27">
        <v>1</v>
      </c>
    </row>
    <row r="28">
      <c r="A28" t="str">
        <v>TBA Market 1</v>
      </c>
      <c r="B28" t="str">
        <v>TBA Area 22</v>
      </c>
      <c r="C28" t="str">
        <v>3811</v>
      </c>
      <c r="D28" t="str">
        <v>3811 Chirnside Park</v>
      </c>
      <c r="E28" t="str">
        <v>AMERICOLD Vic</v>
      </c>
      <c r="F28">
        <v>1621542</v>
      </c>
      <c r="G28">
        <v>46224.84888888889</v>
      </c>
      <c r="H28" t="str">
        <v>38892</v>
      </c>
      <c r="I28" t="str">
        <v>TB BIG BELL BOX 250EA</v>
      </c>
      <c r="J28" t="str">
        <v>CARTON-250</v>
      </c>
      <c r="K28">
        <v>55.54</v>
      </c>
      <c r="L28">
        <v>2</v>
      </c>
    </row>
    <row r="29">
      <c r="A29" t="str">
        <v>TBA Market 1</v>
      </c>
      <c r="B29" t="str">
        <v>TBA Area 22</v>
      </c>
      <c r="C29" t="str">
        <v>3811</v>
      </c>
      <c r="D29" t="str">
        <v>3811 Chirnside Park</v>
      </c>
      <c r="E29" t="str">
        <v>AMERICOLD Vic</v>
      </c>
      <c r="F29">
        <v>1621527</v>
      </c>
      <c r="G29">
        <v>46225.208333333336</v>
      </c>
      <c r="H29" t="str">
        <v>38894</v>
      </c>
      <c r="I29" t="str">
        <v>TB LID POSTMIX 1000EA</v>
      </c>
      <c r="J29" t="str">
        <v>CARTON-1000</v>
      </c>
      <c r="K29">
        <v>17.67</v>
      </c>
      <c r="L29">
        <v>1</v>
      </c>
    </row>
    <row r="30">
      <c r="A30" t="str">
        <v>TBA Market 1</v>
      </c>
      <c r="B30" t="str">
        <v>TBA Area 22</v>
      </c>
      <c r="C30" t="str">
        <v>3811</v>
      </c>
      <c r="D30" t="str">
        <v>3811 Chirnside Park</v>
      </c>
      <c r="E30" t="str">
        <v>AMERICOLD Vic</v>
      </c>
      <c r="F30">
        <v>1621540</v>
      </c>
      <c r="G30">
        <v>46225.208333333336</v>
      </c>
      <c r="H30" t="str">
        <v>39009</v>
      </c>
      <c r="I30" t="str">
        <v>TB CHIP NACHO 4.5KG</v>
      </c>
      <c r="J30" t="str">
        <v>CARTON-4.5KG</v>
      </c>
      <c r="K30">
        <v>28.56</v>
      </c>
      <c r="L30">
        <v>4</v>
      </c>
    </row>
    <row r="31">
      <c r="A31" t="str">
        <v>TBA Market 1</v>
      </c>
      <c r="B31" t="str">
        <v>TBA Area 22</v>
      </c>
      <c r="C31" t="str">
        <v>3811</v>
      </c>
      <c r="D31" t="str">
        <v>3811 Chirnside Park</v>
      </c>
      <c r="E31" t="str">
        <v>AMERICOLD Vic</v>
      </c>
      <c r="F31">
        <v>1621542</v>
      </c>
      <c r="G31">
        <v>46224.84888888889</v>
      </c>
      <c r="H31" t="str">
        <v>39054</v>
      </c>
      <c r="I31" t="str">
        <v>TB SEASONING MEXICAN RICE 10X1</v>
      </c>
      <c r="J31" t="str">
        <v>BAG-10KG</v>
      </c>
      <c r="K31">
        <v>106.1</v>
      </c>
      <c r="L31">
        <v>2</v>
      </c>
    </row>
    <row r="32">
      <c r="A32" t="str">
        <v>TBA Market 1</v>
      </c>
      <c r="B32" t="str">
        <v>TBA Area 22</v>
      </c>
      <c r="C32" t="str">
        <v>3811</v>
      </c>
      <c r="D32" t="str">
        <v>3811 Chirnside Park</v>
      </c>
      <c r="E32" t="str">
        <v>AMERICOLD Vic</v>
      </c>
      <c r="F32">
        <v>1621540</v>
      </c>
      <c r="G32">
        <v>46225.208333333336</v>
      </c>
      <c r="H32" t="str">
        <v>39520</v>
      </c>
      <c r="I32" t="str">
        <v>TB MEAT BEEF COOKED 8X1.85KG</v>
      </c>
      <c r="J32" t="str">
        <v>CARTON-8x1.85KG</v>
      </c>
      <c r="K32">
        <v>173.16</v>
      </c>
      <c r="L32">
        <v>9</v>
      </c>
    </row>
    <row r="33">
      <c r="A33" t="str">
        <v>TBA Market 1</v>
      </c>
      <c r="B33" t="str">
        <v>TBA Area 22</v>
      </c>
      <c r="C33" t="str">
        <v>3811</v>
      </c>
      <c r="D33" t="str">
        <v>3811 Chirnside Park</v>
      </c>
      <c r="E33" t="str">
        <v>AMERICOLD Vic</v>
      </c>
      <c r="F33">
        <v>1621542</v>
      </c>
      <c r="G33">
        <v>46224.84888888889</v>
      </c>
      <c r="H33" t="str">
        <v>39744</v>
      </c>
      <c r="I33" t="str">
        <v>TB DIPPING CUP 60ML 1000EA</v>
      </c>
      <c r="J33" t="str">
        <v>CARTON-1000</v>
      </c>
      <c r="K33">
        <v>46.15</v>
      </c>
      <c r="L33">
        <v>1</v>
      </c>
    </row>
    <row r="34">
      <c r="A34" t="str">
        <v>TBA Market 1</v>
      </c>
      <c r="B34" t="str">
        <v>TBA Area 22</v>
      </c>
      <c r="C34" t="str">
        <v>3811</v>
      </c>
      <c r="D34" t="str">
        <v>3811 Chirnside Park</v>
      </c>
      <c r="E34" t="str">
        <v>AMERICOLD Vic</v>
      </c>
      <c r="F34">
        <v>1621542</v>
      </c>
      <c r="G34">
        <v>46224.84888888889</v>
      </c>
      <c r="H34" t="str">
        <v>39746</v>
      </c>
      <c r="I34" t="str">
        <v>TB LID CLEAR 60ML DIPPING CUP 1000EA</v>
      </c>
      <c r="J34" t="str">
        <v>CARTON-1000</v>
      </c>
      <c r="K34">
        <v>27.4</v>
      </c>
      <c r="L34">
        <v>1</v>
      </c>
    </row>
    <row r="35">
      <c r="A35" t="str">
        <v>TBA Market 1</v>
      </c>
      <c r="B35" t="str">
        <v>TBA Area 22</v>
      </c>
      <c r="C35" t="str">
        <v>3811</v>
      </c>
      <c r="D35" t="str">
        <v>3811 Chirnside Park</v>
      </c>
      <c r="E35" t="str">
        <v>AMERICOLD Vic</v>
      </c>
      <c r="F35">
        <v>1621542</v>
      </c>
      <c r="G35">
        <v>46224.84888888889</v>
      </c>
      <c r="H35" t="str">
        <v>39748</v>
      </c>
      <c r="I35" t="str">
        <v>TB WOODEN FORK 1000EA</v>
      </c>
      <c r="J35" t="str">
        <v>CARTON-1000</v>
      </c>
      <c r="K35">
        <v>32.2</v>
      </c>
      <c r="L35">
        <v>1</v>
      </c>
    </row>
    <row r="36">
      <c r="A36" t="str">
        <v>TBA Market 1</v>
      </c>
      <c r="B36" t="str">
        <v>TBA Area 22</v>
      </c>
      <c r="C36" t="str">
        <v>3811</v>
      </c>
      <c r="D36" t="str">
        <v>3811 Chirnside Park</v>
      </c>
      <c r="E36" t="str">
        <v>AMERICOLD Vic</v>
      </c>
      <c r="F36">
        <v>1621540</v>
      </c>
      <c r="G36">
        <v>46225.208333333336</v>
      </c>
      <c r="H36" t="str">
        <v>39867A</v>
      </c>
      <c r="I36" t="str">
        <v>TB MEAT CHICKEN COOKED 10X600GM</v>
      </c>
      <c r="J36" t="str">
        <v>CARTON-10X600GM</v>
      </c>
      <c r="K36">
        <v>81.54</v>
      </c>
      <c r="L36">
        <v>11</v>
      </c>
    </row>
    <row r="37">
      <c r="A37" t="str">
        <v>TBA Market 1</v>
      </c>
      <c r="B37" t="str">
        <v>TBA Area 22</v>
      </c>
      <c r="C37" t="str">
        <v>3811</v>
      </c>
      <c r="D37" t="str">
        <v>3811 Chirnside Park</v>
      </c>
      <c r="E37" t="str">
        <v>AMERICOLD Vic</v>
      </c>
      <c r="F37">
        <v>1621542</v>
      </c>
      <c r="G37">
        <v>46224.84888888889</v>
      </c>
      <c r="H37" t="str">
        <v>40014</v>
      </c>
      <c r="I37" t="str">
        <v>TB BOX CANTINA 200EA</v>
      </c>
      <c r="J37" t="str">
        <v>CARTON-200</v>
      </c>
      <c r="K37">
        <v>35.41</v>
      </c>
      <c r="L37">
        <v>2</v>
      </c>
    </row>
    <row r="38">
      <c r="A38" t="str">
        <v>TBA Market 1</v>
      </c>
      <c r="B38" t="str">
        <v>TBA Area 22</v>
      </c>
      <c r="C38" t="str">
        <v>3811</v>
      </c>
      <c r="D38" t="str">
        <v>3811 Chirnside Park</v>
      </c>
      <c r="E38" t="str">
        <v>AMERICOLD Vic</v>
      </c>
      <c r="F38">
        <v>1621540</v>
      </c>
      <c r="G38">
        <v>46225.208333333336</v>
      </c>
      <c r="H38" t="str">
        <v>40109</v>
      </c>
      <c r="I38" t="str">
        <v>FRIES SURECRISP 6X2KG</v>
      </c>
      <c r="J38" t="str">
        <v>CARTON-6x2KG</v>
      </c>
      <c r="K38">
        <v>37.2</v>
      </c>
      <c r="L38">
        <v>26</v>
      </c>
    </row>
    <row r="39">
      <c r="A39" t="str">
        <v>TBA Market 1</v>
      </c>
      <c r="B39" t="str">
        <v>TBA Area 22</v>
      </c>
      <c r="C39" t="str">
        <v>3811</v>
      </c>
      <c r="D39" t="str">
        <v>3811 Chirnside Park</v>
      </c>
      <c r="E39" t="str">
        <v>AMERICOLD Vic</v>
      </c>
      <c r="F39">
        <v>1621543</v>
      </c>
      <c r="G39">
        <v>46224.84945601852</v>
      </c>
      <c r="H39" t="str">
        <v>40266</v>
      </c>
      <c r="I39" t="str">
        <v>TB CHEESE 4 BLEND 6X2KG</v>
      </c>
      <c r="J39" t="str">
        <v>CARTON-6x2KG</v>
      </c>
      <c r="K39">
        <v>145.77</v>
      </c>
      <c r="L39">
        <v>1</v>
      </c>
    </row>
    <row r="40">
      <c r="A40" t="str">
        <v>TBA Market 1</v>
      </c>
      <c r="B40" t="str">
        <v>TBA Area 22</v>
      </c>
      <c r="C40" t="str">
        <v>3811</v>
      </c>
      <c r="D40" t="str">
        <v>3811 Chirnside Park</v>
      </c>
      <c r="E40" t="str">
        <v>AMERICOLD Vic</v>
      </c>
      <c r="F40">
        <v>1621528</v>
      </c>
      <c r="G40">
        <v>46225.208333333336</v>
      </c>
      <c r="H40" t="str">
        <v>40266</v>
      </c>
      <c r="I40" t="str">
        <v>TB CHEESE 4 BLEND 6X2KG</v>
      </c>
      <c r="J40" t="str">
        <v>CARTON-6x2KG</v>
      </c>
      <c r="K40">
        <v>145.77</v>
      </c>
      <c r="L40">
        <v>1</v>
      </c>
    </row>
    <row r="41">
      <c r="A41" t="str">
        <v>TBA Market 1</v>
      </c>
      <c r="B41" t="str">
        <v>TBA Area 22</v>
      </c>
      <c r="C41" t="str">
        <v>3811</v>
      </c>
      <c r="D41" t="str">
        <v>3811 Chirnside Park</v>
      </c>
      <c r="E41" t="str">
        <v>AMERICOLD Vic</v>
      </c>
      <c r="F41">
        <v>1621540</v>
      </c>
      <c r="G41">
        <v>46225.208333333336</v>
      </c>
      <c r="H41" t="str">
        <v>40303</v>
      </c>
      <c r="I41" t="str">
        <v>TB CHICKEN CRISPY 6X41EA</v>
      </c>
      <c r="J41" t="str">
        <v>CARTON-6x41</v>
      </c>
      <c r="K41">
        <v>185.5</v>
      </c>
      <c r="L41">
        <v>2</v>
      </c>
    </row>
    <row r="42">
      <c r="A42" t="str">
        <v>TBA Market 1</v>
      </c>
      <c r="B42" t="str">
        <v>TBA Area 22</v>
      </c>
      <c r="C42" t="str">
        <v>3811</v>
      </c>
      <c r="D42" t="str">
        <v>3811 Chirnside Park</v>
      </c>
      <c r="E42" t="str">
        <v>AMERICOLD Vic</v>
      </c>
      <c r="F42">
        <v>1621527</v>
      </c>
      <c r="G42">
        <v>46225.208333333336</v>
      </c>
      <c r="H42" t="str">
        <v>504372</v>
      </c>
      <c r="I42" t="str">
        <v>WIPING CLOTH BLUE 350EA</v>
      </c>
      <c r="J42" t="str">
        <v>CARTON-350</v>
      </c>
      <c r="K42">
        <v>23.22</v>
      </c>
      <c r="L42">
        <v>1</v>
      </c>
    </row>
    <row r="43">
      <c r="A43" t="str">
        <v>TBA Market 1</v>
      </c>
      <c r="B43" t="str">
        <v>TBA Area 22</v>
      </c>
      <c r="C43" t="str">
        <v>3811</v>
      </c>
      <c r="D43" t="str">
        <v>3811 Chirnside Park</v>
      </c>
      <c r="E43" t="str">
        <v>AMERICOLD Vic</v>
      </c>
      <c r="F43">
        <v>1621543</v>
      </c>
      <c r="G43">
        <v>46224.84945601852</v>
      </c>
      <c r="H43" t="str">
        <v>505956</v>
      </c>
      <c r="I43" t="str">
        <v>OIL FRYING LIQUID CARGILL</v>
      </c>
      <c r="J43" t="str">
        <v>CARTON-15KG</v>
      </c>
      <c r="K43">
        <v>39.51</v>
      </c>
      <c r="L43">
        <v>6</v>
      </c>
    </row>
    <row r="44">
      <c r="A44" t="str">
        <v>TBA Market 1</v>
      </c>
      <c r="B44" t="str">
        <v>TBA Area 22</v>
      </c>
      <c r="C44" t="str">
        <v>3811</v>
      </c>
      <c r="D44" t="str">
        <v>3811 Chirnside Park</v>
      </c>
      <c r="E44" t="str">
        <v>BEGA</v>
      </c>
      <c r="F44">
        <v>1621522</v>
      </c>
      <c r="G44">
        <v>46225.208333333336</v>
      </c>
      <c r="H44" t="str">
        <v>7769</v>
      </c>
      <c r="I44" t="str">
        <v>DRINK DARE ICED COFFEE DOUBLE</v>
      </c>
      <c r="J44" t="str">
        <v>EACH</v>
      </c>
      <c r="K44">
        <v>2.37</v>
      </c>
      <c r="L44">
        <v>6</v>
      </c>
    </row>
    <row r="45">
      <c r="A45" t="str">
        <v>TBA Market 1</v>
      </c>
      <c r="B45" t="str">
        <v>TBA Area 22</v>
      </c>
      <c r="C45" t="str">
        <v>3811</v>
      </c>
      <c r="D45" t="str">
        <v>3811 Chirnside Park</v>
      </c>
      <c r="E45" t="str">
        <v>BEGA</v>
      </c>
      <c r="F45">
        <v>1621522</v>
      </c>
      <c r="G45">
        <v>46225.208333333336</v>
      </c>
      <c r="H45" t="str">
        <v>8419</v>
      </c>
      <c r="I45" t="str">
        <v>CREAM SOUR LIGHT 5KG BEGA</v>
      </c>
      <c r="J45" t="str">
        <v>EACH-5KG</v>
      </c>
      <c r="K45">
        <v>26.15</v>
      </c>
      <c r="L45">
        <v>3</v>
      </c>
    </row>
    <row r="46">
      <c r="A46" t="str">
        <v>TBA Market 1</v>
      </c>
      <c r="B46" t="str">
        <v>TBA Area 22</v>
      </c>
      <c r="C46" t="str">
        <v>3811</v>
      </c>
      <c r="D46" t="str">
        <v>3811 Chirnside Park</v>
      </c>
      <c r="E46" t="str">
        <v>Cut Fresh NSW</v>
      </c>
      <c r="F46">
        <v>1621388</v>
      </c>
      <c r="G46">
        <v>46223.208333333336</v>
      </c>
      <c r="H46" t="str">
        <v>CHOPC</v>
      </c>
      <c r="I46" t="str">
        <v>TB SALAD CORIANDER CHOPPED 1X500GM</v>
      </c>
      <c r="J46" t="str">
        <v>BAG-500GM</v>
      </c>
      <c r="K46">
        <v>38.22</v>
      </c>
      <c r="L46">
        <v>1</v>
      </c>
    </row>
    <row r="47">
      <c r="A47" t="str">
        <v>TBA Market 1</v>
      </c>
      <c r="B47" t="str">
        <v>TBA Area 22</v>
      </c>
      <c r="C47" t="str">
        <v>3811</v>
      </c>
      <c r="D47" t="str">
        <v>3811 Chirnside Park</v>
      </c>
      <c r="E47" t="str">
        <v>Cut Fresh NSW</v>
      </c>
      <c r="F47">
        <v>1621388</v>
      </c>
      <c r="G47">
        <v>46223.208333333336</v>
      </c>
      <c r="H47" t="str">
        <v>DO4</v>
      </c>
      <c r="I47" t="str">
        <v>ONION BROWN DICED 4x1KG</v>
      </c>
      <c r="J47" t="str">
        <v>CARTON-4x1KG</v>
      </c>
      <c r="K47">
        <v>34.17</v>
      </c>
      <c r="L47">
        <v>1</v>
      </c>
    </row>
    <row r="48">
      <c r="A48" t="str">
        <v>TBA Market 1</v>
      </c>
      <c r="B48" t="str">
        <v>TBA Area 22</v>
      </c>
      <c r="C48" t="str">
        <v>3811</v>
      </c>
      <c r="D48" t="str">
        <v>3811 Chirnside Park</v>
      </c>
      <c r="E48" t="str">
        <v>Cut Fresh NSW</v>
      </c>
      <c r="F48">
        <v>1621388</v>
      </c>
      <c r="G48">
        <v>46223.208333333336</v>
      </c>
      <c r="H48" t="str">
        <v>DTOM4</v>
      </c>
      <c r="I48" t="str">
        <v>TOMATO DICED 4x1KG</v>
      </c>
      <c r="J48" t="str">
        <v>CARTON-4x1KG</v>
      </c>
      <c r="K48">
        <v>39.71</v>
      </c>
      <c r="L48">
        <v>3</v>
      </c>
    </row>
    <row r="49">
      <c r="A49" t="str">
        <v>TBA Market 1</v>
      </c>
      <c r="B49" t="str">
        <v>TBA Area 22</v>
      </c>
      <c r="C49" t="str">
        <v>3811</v>
      </c>
      <c r="D49" t="str">
        <v>3811 Chirnside Park</v>
      </c>
      <c r="E49" t="str">
        <v>Cut Fresh NSW</v>
      </c>
      <c r="F49">
        <v>1621523</v>
      </c>
      <c r="G49">
        <v>46225.208333333336</v>
      </c>
      <c r="H49" t="str">
        <v>DTOM4</v>
      </c>
      <c r="I49" t="str">
        <v>TOMATO DICED 4x1KG</v>
      </c>
      <c r="J49" t="str">
        <v>CARTON-4x1KG</v>
      </c>
      <c r="K49">
        <v>39.71</v>
      </c>
      <c r="L49">
        <v>3</v>
      </c>
    </row>
    <row r="50">
      <c r="A50" t="str">
        <v>TBA Market 1</v>
      </c>
      <c r="B50" t="str">
        <v>TBA Area 22</v>
      </c>
      <c r="C50" t="str">
        <v>3811</v>
      </c>
      <c r="D50" t="str">
        <v>3811 Chirnside Park</v>
      </c>
      <c r="E50" t="str">
        <v>Cut Fresh NSW</v>
      </c>
      <c r="F50">
        <v>1621523</v>
      </c>
      <c r="G50">
        <v>46225.208333333336</v>
      </c>
      <c r="H50" t="str">
        <v>SLETT</v>
      </c>
      <c r="I50" t="str">
        <v>LETTUCE SHREDDED 4x2KG</v>
      </c>
      <c r="J50" t="str">
        <v>CARTON-4x2KG</v>
      </c>
      <c r="K50">
        <v>35.29</v>
      </c>
      <c r="L50">
        <v>5</v>
      </c>
    </row>
    <row r="51">
      <c r="A51" t="str">
        <v>TBA Market 1</v>
      </c>
      <c r="B51" t="str">
        <v>TBA Area 22</v>
      </c>
      <c r="C51" t="str">
        <v>3811</v>
      </c>
      <c r="D51" t="str">
        <v>3811 Chirnside Park</v>
      </c>
      <c r="E51" t="str">
        <v>SCHWEPPES VIC</v>
      </c>
      <c r="F51">
        <v>1621541</v>
      </c>
      <c r="G51">
        <v>46225.208333333336</v>
      </c>
      <c r="H51" t="str">
        <v>10005242</v>
      </c>
      <c r="I51" t="str">
        <v>DRINK WATER SPARKLING 24X500ML</v>
      </c>
      <c r="J51" t="str">
        <v>CARTON-24</v>
      </c>
      <c r="K51">
        <v>13.35</v>
      </c>
      <c r="L51">
        <v>1</v>
      </c>
    </row>
    <row r="52">
      <c r="A52" t="str">
        <v>TBA Market 1</v>
      </c>
      <c r="B52" t="str">
        <v>TBA Area 22</v>
      </c>
      <c r="C52" t="str">
        <v>3811</v>
      </c>
      <c r="D52" t="str">
        <v>3811 Chirnside Park</v>
      </c>
      <c r="E52" t="str">
        <v>SCHWEPPES VIC</v>
      </c>
      <c r="F52">
        <v>1621541</v>
      </c>
      <c r="G52">
        <v>46225.208333333336</v>
      </c>
      <c r="H52" t="str">
        <v>10005385</v>
      </c>
      <c r="I52" t="str">
        <v>DRINK MOUNTAIN DEW BIB 15L</v>
      </c>
      <c r="J52" t="str">
        <v>CARTON-15L</v>
      </c>
      <c r="K52">
        <v>35.1</v>
      </c>
      <c r="L52">
        <v>2</v>
      </c>
    </row>
    <row r="53">
      <c r="A53" t="str">
        <v>TBA Market 1</v>
      </c>
      <c r="B53" t="str">
        <v>TBA Area 22</v>
      </c>
      <c r="C53" t="str">
        <v>3811</v>
      </c>
      <c r="D53" t="str">
        <v>3811 Chirnside Park</v>
      </c>
      <c r="E53" t="str">
        <v>SCHWEPPES VIC</v>
      </c>
      <c r="F53">
        <v>1621541</v>
      </c>
      <c r="G53">
        <v>46225.208333333336</v>
      </c>
      <c r="H53" t="str">
        <v>10006282</v>
      </c>
      <c r="I53" t="str">
        <v>DRINK WATER 600ML PET 24EA</v>
      </c>
      <c r="J53" t="str">
        <v>CARTON-24</v>
      </c>
      <c r="K53">
        <v>12.05</v>
      </c>
      <c r="L53">
        <v>2</v>
      </c>
    </row>
    <row r="54">
      <c r="A54" t="str">
        <v>TBA Market 1</v>
      </c>
      <c r="B54" t="str">
        <v>TBA Area 22</v>
      </c>
      <c r="C54" t="str">
        <v>3811</v>
      </c>
      <c r="D54" t="str">
        <v>3811 Chirnside Park</v>
      </c>
      <c r="E54" t="str">
        <v>SCHWEPPES VIC</v>
      </c>
      <c r="F54">
        <v>1621541</v>
      </c>
      <c r="G54">
        <v>46225.208333333336</v>
      </c>
      <c r="H54" t="str">
        <v>10006909</v>
      </c>
      <c r="I54" t="str">
        <v>DRINK RED BULL ED 24X250ML</v>
      </c>
      <c r="J54" t="str">
        <v>CARTON-24</v>
      </c>
      <c r="K54">
        <v>41.78</v>
      </c>
      <c r="L54">
        <v>1</v>
      </c>
    </row>
    <row r="55">
      <c r="A55" t="str">
        <v>TBA Market 1</v>
      </c>
      <c r="B55" t="str">
        <v>TBA Area 22</v>
      </c>
      <c r="C55" t="str">
        <v>3811</v>
      </c>
      <c r="D55" t="str">
        <v>3811 Chirnside Park</v>
      </c>
      <c r="E55" t="str">
        <v>SCHWEPPES VIC</v>
      </c>
      <c r="F55">
        <v>1621541</v>
      </c>
      <c r="G55">
        <v>46225.208333333336</v>
      </c>
      <c r="H55" t="str">
        <v>10006942</v>
      </c>
      <c r="I55" t="str">
        <v>DRINK RED BULL TROPICAL 12X250ML</v>
      </c>
      <c r="J55" t="str">
        <v>CARTON-12</v>
      </c>
      <c r="K55">
        <v>21.07</v>
      </c>
      <c r="L55">
        <v>1</v>
      </c>
    </row>
    <row r="56">
      <c r="A56" t="str">
        <v>TBA Market 1</v>
      </c>
      <c r="B56" t="str">
        <v>TBA Area 22</v>
      </c>
      <c r="C56" t="str">
        <v>3811</v>
      </c>
      <c r="D56" t="str">
        <v>3811 Chirnside Park</v>
      </c>
      <c r="E56" t="str">
        <v>SCHWEPPES VIC</v>
      </c>
      <c r="F56">
        <v>1621541</v>
      </c>
      <c r="G56">
        <v>46225.208333333336</v>
      </c>
      <c r="H56" t="str">
        <v>10007182</v>
      </c>
      <c r="I56" t="str">
        <v>DRINK JUICE POP TOP APPLE 24X250ML</v>
      </c>
      <c r="J56" t="str">
        <v>CARTON-24</v>
      </c>
      <c r="K56">
        <v>15.6</v>
      </c>
      <c r="L56">
        <v>1</v>
      </c>
    </row>
    <row r="57">
      <c r="A57" t="str">
        <v>TBA Market 1</v>
      </c>
      <c r="B57" t="str">
        <v>TBA Area 22</v>
      </c>
      <c r="C57" t="str">
        <v>3811</v>
      </c>
      <c r="D57" t="str">
        <v>3811 Chirnside Park</v>
      </c>
      <c r="E57" t="str">
        <v>SCHWEPPES VIC</v>
      </c>
      <c r="F57">
        <v>1621541</v>
      </c>
      <c r="G57">
        <v>46225.208333333336</v>
      </c>
      <c r="H57" t="str">
        <v>10007191</v>
      </c>
      <c r="I57" t="str">
        <v>DRINK MOUNTAIN DEW CAN 30EA</v>
      </c>
      <c r="J57" t="str">
        <v>CARTON-30</v>
      </c>
      <c r="K57">
        <v>15.53</v>
      </c>
      <c r="L57">
        <v>1</v>
      </c>
    </row>
    <row r="58">
      <c r="A58" t="str">
        <v>TBA Market 1</v>
      </c>
      <c r="B58" t="str">
        <v>TBA Area 22</v>
      </c>
      <c r="C58" t="str">
        <v>3811</v>
      </c>
      <c r="D58" t="str">
        <v>3811 Chirnside Park</v>
      </c>
      <c r="E58" t="str">
        <v>SCHWEPPES VIC</v>
      </c>
      <c r="F58">
        <v>1621541</v>
      </c>
      <c r="G58">
        <v>46225.208333333336</v>
      </c>
      <c r="H58" t="str">
        <v>10008621</v>
      </c>
      <c r="I58" t="str">
        <v>DRINK MOUNTAIN DEW 600ML PET</v>
      </c>
      <c r="J58" t="str">
        <v>CARTON-24</v>
      </c>
      <c r="K58">
        <v>14.02</v>
      </c>
      <c r="L58">
        <v>1</v>
      </c>
    </row>
    <row r="59">
      <c r="A59" t="str">
        <v>TBA Market 1</v>
      </c>
      <c r="B59" t="str">
        <v>TBA Area 22</v>
      </c>
      <c r="C59" t="str">
        <v>3811</v>
      </c>
      <c r="D59" t="str">
        <v>3811 Chirnside Park</v>
      </c>
      <c r="E59" t="str">
        <v>SCHWEPPES VIC</v>
      </c>
      <c r="F59">
        <v>1621541</v>
      </c>
      <c r="G59">
        <v>46225.208333333336</v>
      </c>
      <c r="H59" t="str">
        <v>10008634</v>
      </c>
      <c r="I59" t="str">
        <v>DRINK MOUNTAIN DEW CAN</v>
      </c>
      <c r="J59" t="str">
        <v>CARTON-30</v>
      </c>
      <c r="K59">
        <v>15.73</v>
      </c>
      <c r="L59">
        <v>2</v>
      </c>
    </row>
    <row r="60">
      <c r="A60" t="str">
        <v>TBA Market 1</v>
      </c>
      <c r="B60" t="str">
        <v>TBA Area 22</v>
      </c>
      <c r="C60" t="str">
        <v>3811</v>
      </c>
      <c r="D60" t="str">
        <v>3811 Chirnside Park</v>
      </c>
      <c r="E60" t="str">
        <v>SCHWEPPES VIC</v>
      </c>
      <c r="F60">
        <v>1621541</v>
      </c>
      <c r="G60">
        <v>46225.208333333336</v>
      </c>
      <c r="H60" t="str">
        <v>2918</v>
      </c>
      <c r="I60" t="str">
        <v>DRINK SOLO LEMON 600ML PET 24EA</v>
      </c>
      <c r="J60" t="str">
        <v>CARTON-24</v>
      </c>
      <c r="K60">
        <v>14.02</v>
      </c>
      <c r="L60">
        <v>2</v>
      </c>
    </row>
    <row r="61">
      <c r="A61" t="str">
        <v>TBA Market 1</v>
      </c>
      <c r="B61" t="str">
        <v>TBA Area 22</v>
      </c>
      <c r="C61" t="str">
        <v>3811</v>
      </c>
      <c r="D61" t="str">
        <v>3811 Chirnside Park</v>
      </c>
      <c r="E61" t="str">
        <v>SCHWEPPES VIC</v>
      </c>
      <c r="F61">
        <v>1621541</v>
      </c>
      <c r="G61">
        <v>46225.208333333336</v>
      </c>
      <c r="H61" t="str">
        <v>2938</v>
      </c>
      <c r="I61" t="str">
        <v>DRINK SUNKIST ORANGE 600ML</v>
      </c>
      <c r="J61" t="str">
        <v>CARTON-24</v>
      </c>
      <c r="K61">
        <v>14.02</v>
      </c>
      <c r="L61">
        <v>1</v>
      </c>
    </row>
    <row r="62">
      <c r="A62" t="str">
        <v>TBA Market 1</v>
      </c>
      <c r="B62" t="str">
        <v>TBA Area 22</v>
      </c>
      <c r="C62" t="str">
        <v>3811</v>
      </c>
      <c r="D62" t="str">
        <v>3811 Chirnside Park</v>
      </c>
      <c r="E62" t="str">
        <v>SCHWEPPES VIC</v>
      </c>
      <c r="F62">
        <v>1621541</v>
      </c>
      <c r="G62">
        <v>46225.208333333336</v>
      </c>
      <c r="H62" t="str">
        <v>3226</v>
      </c>
      <c r="I62" t="str">
        <v>DRINK PEPSI MAX 600ML PET 24EA</v>
      </c>
      <c r="J62" t="str">
        <v>CARTON-24</v>
      </c>
      <c r="K62">
        <v>14.02</v>
      </c>
      <c r="L62">
        <v>2</v>
      </c>
    </row>
    <row r="63">
      <c r="A63" t="str">
        <v>TBA Market 1</v>
      </c>
      <c r="B63" t="str">
        <v>TBA Area 22</v>
      </c>
      <c r="C63" t="str">
        <v>3811</v>
      </c>
      <c r="D63" t="str">
        <v>3811 Chirnside Park</v>
      </c>
      <c r="E63" t="str">
        <v>SCHWEPPES VIC</v>
      </c>
      <c r="F63">
        <v>1621541</v>
      </c>
      <c r="G63">
        <v>46225.208333333336</v>
      </c>
      <c r="H63" t="str">
        <v>3478</v>
      </c>
      <c r="I63" t="str">
        <v>DRINK PEPSI MAX BIB 10L</v>
      </c>
      <c r="J63" t="str">
        <v>CARTON-10L</v>
      </c>
      <c r="K63">
        <v>23.53</v>
      </c>
      <c r="L63">
        <v>3</v>
      </c>
    </row>
    <row r="64">
      <c r="A64" t="str">
        <v>TBA Market 1</v>
      </c>
      <c r="B64" t="str">
        <v>TBA Area 22</v>
      </c>
      <c r="C64" t="str">
        <v>3811</v>
      </c>
      <c r="D64" t="str">
        <v>3811 Chirnside Park</v>
      </c>
      <c r="E64" t="str">
        <v>SCHWEPPES VIC</v>
      </c>
      <c r="F64">
        <v>1621541</v>
      </c>
      <c r="G64">
        <v>46225.208333333336</v>
      </c>
      <c r="H64" t="str">
        <v>3912</v>
      </c>
      <c r="I64" t="str">
        <v>DRINK PEPSI BIB 15L</v>
      </c>
      <c r="J64" t="str">
        <v>CARTON-15L</v>
      </c>
      <c r="K64">
        <v>35.1</v>
      </c>
      <c r="L64">
        <v>1</v>
      </c>
    </row>
    <row r="65">
      <c r="A65" t="str">
        <v>Grand Total:</v>
      </c>
      <c r="B65">
        <v>169</v>
      </c>
      <c r="D65">
        <v>169</v>
      </c>
      <c r="E65">
        <v>0</v>
      </c>
      <c r="F65" t="str">
        <v>TacoBellAU - Strictly Confidential</v>
      </c>
    </row>
  </sheetData>
  <pageMargins left="0.7" right="0.7" top="0.75" bottom="0.75" header="0.3" footer="0.3"/>
  <ignoredErrors>
    <ignoredError numberStoredAsText="1" sqref="A1:O2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T150"/>
  <sheetViews>
    <sheetView workbookViewId="0" rightToLeft="0"/>
  </sheetViews>
  <sheetData>
    <row r="1">
      <c r="A1" t="str">
        <v>Textbox2</v>
      </c>
      <c r="B1" t="str">
        <v>Textbox7</v>
      </c>
      <c r="C1" t="str">
        <v>Textbox1</v>
      </c>
      <c r="D1" t="str">
        <v>Textbox5</v>
      </c>
      <c r="E1" t="str">
        <v>Textbox3</v>
      </c>
      <c r="F1" t="str">
        <v>Textbox8</v>
      </c>
      <c r="G1" t="str">
        <v>Textbox9</v>
      </c>
      <c r="H1" t="str">
        <v>Textbox10</v>
      </c>
      <c r="I1" t="str">
        <v>Textbox11</v>
      </c>
      <c r="J1" t="str">
        <v>Textbox12</v>
      </c>
      <c r="K1" t="str">
        <v>ItemCode</v>
      </c>
      <c r="L1" t="str">
        <v>Description</v>
      </c>
      <c r="M1" t="str">
        <v>Unit</v>
      </c>
      <c r="N1" t="str">
        <v>Day1</v>
      </c>
      <c r="O1" t="str">
        <v>Day2</v>
      </c>
      <c r="P1" t="str">
        <v>Day3</v>
      </c>
      <c r="Q1" t="str">
        <v>Day4</v>
      </c>
      <c r="R1" t="str">
        <v>Day5</v>
      </c>
      <c r="S1" t="str">
        <v>Day6</v>
      </c>
      <c r="T1" t="str">
        <v>Day7</v>
      </c>
    </row>
    <row r="2" xml:space="preserve">
      <c r="A2" t="str">
        <v>Item Code</v>
      </c>
      <c r="B2" t="str">
        <v>Item</v>
      </c>
      <c r="C2" t="str">
        <v>Unit</v>
      </c>
      <c r="D2" t="str" xml:space="preserve">
        <v xml:space="preserve">Tuesday_x000d__x000d_
14-Jul-26</v>
      </c>
      <c r="E2" t="str" xml:space="preserve">
        <v xml:space="preserve">Wednesday_x000d__x000d_
15-Jul-26</v>
      </c>
      <c r="F2" t="str" xml:space="preserve">
        <v xml:space="preserve">Thursday_x000d__x000d_
16-Jul-26</v>
      </c>
      <c r="G2" t="str" xml:space="preserve">
        <v xml:space="preserve">Friday_x000d__x000d_
17-Jul-26</v>
      </c>
      <c r="H2" t="str" xml:space="preserve">
        <v xml:space="preserve">Saturday_x000d__x000d_
18-Jul-26</v>
      </c>
      <c r="I2" t="str" xml:space="preserve">
        <v xml:space="preserve">Sunday_x000d__x000d_
19-Jul-26</v>
      </c>
      <c r="J2" t="str" xml:space="preserve">
        <v xml:space="preserve">Monday_x000d__x000d_
20-Jul-26</v>
      </c>
      <c r="K2">
        <v>106431</v>
      </c>
      <c r="L2" t="str">
        <v>260 x 260mm Baking Paper Golden Silidor</v>
      </c>
      <c r="M2" t="str">
        <v>CARTON-1000</v>
      </c>
      <c r="N2">
        <v>0.02</v>
      </c>
      <c r="O2">
        <v>0.02</v>
      </c>
      <c r="P2">
        <v>0.03</v>
      </c>
      <c r="Q2">
        <v>0.04</v>
      </c>
      <c r="R2">
        <v>0.03</v>
      </c>
      <c r="S2">
        <v>0.02</v>
      </c>
      <c r="T2">
        <v>0.02</v>
      </c>
    </row>
    <row r="3" xml:space="preserve">
      <c r="A3" t="str">
        <v>Item Code</v>
      </c>
      <c r="B3" t="str">
        <v>Item</v>
      </c>
      <c r="C3" t="str">
        <v>Unit</v>
      </c>
      <c r="D3" t="str" xml:space="preserve">
        <v xml:space="preserve">Tuesday_x000d__x000d_
14-Jul-26</v>
      </c>
      <c r="E3" t="str" xml:space="preserve">
        <v xml:space="preserve">Wednesday_x000d__x000d_
15-Jul-26</v>
      </c>
      <c r="F3" t="str" xml:space="preserve">
        <v xml:space="preserve">Thursday_x000d__x000d_
16-Jul-26</v>
      </c>
      <c r="G3" t="str" xml:space="preserve">
        <v xml:space="preserve">Friday_x000d__x000d_
17-Jul-26</v>
      </c>
      <c r="H3" t="str" xml:space="preserve">
        <v xml:space="preserve">Saturday_x000d__x000d_
18-Jul-26</v>
      </c>
      <c r="I3" t="str" xml:space="preserve">
        <v xml:space="preserve">Sunday_x000d__x000d_
19-Jul-26</v>
      </c>
      <c r="J3" t="str" xml:space="preserve">
        <v xml:space="preserve">Monday_x000d__x000d_
20-Jul-26</v>
      </c>
      <c r="K3">
        <v>106491</v>
      </c>
      <c r="L3" t="str">
        <v>4OZ PORTION CUP 50EA</v>
      </c>
      <c r="M3" t="str">
        <v>PACK-50</v>
      </c>
      <c r="N3">
        <v>0.5</v>
      </c>
      <c r="O3">
        <v>0.34</v>
      </c>
      <c r="P3">
        <v>0.48</v>
      </c>
      <c r="Q3">
        <v>0.76</v>
      </c>
      <c r="R3">
        <v>0.54</v>
      </c>
      <c r="S3">
        <v>0.5</v>
      </c>
      <c r="T3">
        <v>0.52</v>
      </c>
    </row>
    <row r="4" xml:space="preserve">
      <c r="A4" t="str">
        <v>Item Code</v>
      </c>
      <c r="B4" t="str">
        <v>Item</v>
      </c>
      <c r="C4" t="str">
        <v>Unit</v>
      </c>
      <c r="D4" t="str" xml:space="preserve">
        <v xml:space="preserve">Tuesday_x000d__x000d_
14-Jul-26</v>
      </c>
      <c r="E4" t="str" xml:space="preserve">
        <v xml:space="preserve">Wednesday_x000d__x000d_
15-Jul-26</v>
      </c>
      <c r="F4" t="str" xml:space="preserve">
        <v xml:space="preserve">Thursday_x000d__x000d_
16-Jul-26</v>
      </c>
      <c r="G4" t="str" xml:space="preserve">
        <v xml:space="preserve">Friday_x000d__x000d_
17-Jul-26</v>
      </c>
      <c r="H4" t="str" xml:space="preserve">
        <v xml:space="preserve">Saturday_x000d__x000d_
18-Jul-26</v>
      </c>
      <c r="I4" t="str" xml:space="preserve">
        <v xml:space="preserve">Sunday_x000d__x000d_
19-Jul-26</v>
      </c>
      <c r="J4" t="str" xml:space="preserve">
        <v xml:space="preserve">Monday_x000d__x000d_
20-Jul-26</v>
      </c>
      <c r="K4">
        <v>106551</v>
      </c>
      <c r="L4" t="str">
        <v>4OZ PORTION CUP LID 50EA</v>
      </c>
      <c r="M4" t="str">
        <v>PACK-50</v>
      </c>
      <c r="N4">
        <v>0.5</v>
      </c>
      <c r="O4">
        <v>0.34</v>
      </c>
      <c r="P4">
        <v>0.48</v>
      </c>
      <c r="Q4">
        <v>0.76</v>
      </c>
      <c r="R4">
        <v>0.54</v>
      </c>
      <c r="S4">
        <v>0.5</v>
      </c>
      <c r="T4">
        <v>0.52</v>
      </c>
    </row>
    <row r="5" xml:space="preserve">
      <c r="A5" t="str">
        <v>Item Code</v>
      </c>
      <c r="B5" t="str">
        <v>Item</v>
      </c>
      <c r="C5" t="str">
        <v>Unit</v>
      </c>
      <c r="D5" t="str" xml:space="preserve">
        <v xml:space="preserve">Tuesday_x000d__x000d_
14-Jul-26</v>
      </c>
      <c r="E5" t="str" xml:space="preserve">
        <v xml:space="preserve">Wednesday_x000d__x000d_
15-Jul-26</v>
      </c>
      <c r="F5" t="str" xml:space="preserve">
        <v xml:space="preserve">Thursday_x000d__x000d_
16-Jul-26</v>
      </c>
      <c r="G5" t="str" xml:space="preserve">
        <v xml:space="preserve">Friday_x000d__x000d_
17-Jul-26</v>
      </c>
      <c r="H5" t="str" xml:space="preserve">
        <v xml:space="preserve">Saturday_x000d__x000d_
18-Jul-26</v>
      </c>
      <c r="I5" t="str" xml:space="preserve">
        <v xml:space="preserve">Sunday_x000d__x000d_
19-Jul-26</v>
      </c>
      <c r="J5" t="str" xml:space="preserve">
        <v xml:space="preserve">Monday_x000d__x000d_
20-Jul-26</v>
      </c>
      <c r="K5">
        <v>37995</v>
      </c>
      <c r="L5" t="str">
        <v>BAG CHIPS LARGE</v>
      </c>
      <c r="M5" t="str">
        <v>CARTON-3000</v>
      </c>
      <c r="N5">
        <v>0.03</v>
      </c>
      <c r="O5">
        <v>0.03</v>
      </c>
      <c r="P5">
        <v>0.04</v>
      </c>
      <c r="Q5">
        <v>0.05</v>
      </c>
      <c r="R5">
        <v>0.05</v>
      </c>
      <c r="S5">
        <v>0.05</v>
      </c>
      <c r="T5">
        <v>0.03</v>
      </c>
    </row>
    <row r="6" xml:space="preserve">
      <c r="A6" t="str">
        <v>Item Code</v>
      </c>
      <c r="B6" t="str">
        <v>Item</v>
      </c>
      <c r="C6" t="str">
        <v>Unit</v>
      </c>
      <c r="D6" t="str" xml:space="preserve">
        <v xml:space="preserve">Tuesday_x000d__x000d_
14-Jul-26</v>
      </c>
      <c r="E6" t="str" xml:space="preserve">
        <v xml:space="preserve">Wednesday_x000d__x000d_
15-Jul-26</v>
      </c>
      <c r="F6" t="str" xml:space="preserve">
        <v xml:space="preserve">Thursday_x000d__x000d_
16-Jul-26</v>
      </c>
      <c r="G6" t="str" xml:space="preserve">
        <v xml:space="preserve">Friday_x000d__x000d_
17-Jul-26</v>
      </c>
      <c r="H6" t="str" xml:space="preserve">
        <v xml:space="preserve">Saturday_x000d__x000d_
18-Jul-26</v>
      </c>
      <c r="I6" t="str" xml:space="preserve">
        <v xml:space="preserve">Sunday_x000d__x000d_
19-Jul-26</v>
      </c>
      <c r="J6" t="str" xml:space="preserve">
        <v xml:space="preserve">Monday_x000d__x000d_
20-Jul-26</v>
      </c>
      <c r="K6">
        <v>37993</v>
      </c>
      <c r="L6" t="str">
        <v>BAG CHIPS REGULAR</v>
      </c>
      <c r="M6" t="str">
        <v>CARTON-3000</v>
      </c>
      <c r="N6">
        <v>0.04</v>
      </c>
      <c r="O6">
        <v>0.05</v>
      </c>
      <c r="P6">
        <v>0.05</v>
      </c>
      <c r="Q6">
        <v>0.07</v>
      </c>
      <c r="R6">
        <v>0.07</v>
      </c>
      <c r="S6">
        <v>0.05</v>
      </c>
      <c r="T6">
        <v>0.03</v>
      </c>
    </row>
    <row r="7" xml:space="preserve">
      <c r="A7" t="str">
        <v>Item Code</v>
      </c>
      <c r="B7" t="str">
        <v>Item</v>
      </c>
      <c r="C7" t="str">
        <v>Unit</v>
      </c>
      <c r="D7" t="str" xml:space="preserve">
        <v xml:space="preserve">Tuesday_x000d__x000d_
14-Jul-26</v>
      </c>
      <c r="E7" t="str" xml:space="preserve">
        <v xml:space="preserve">Wednesday_x000d__x000d_
15-Jul-26</v>
      </c>
      <c r="F7" t="str" xml:space="preserve">
        <v xml:space="preserve">Thursday_x000d__x000d_
16-Jul-26</v>
      </c>
      <c r="G7" t="str" xml:space="preserve">
        <v xml:space="preserve">Friday_x000d__x000d_
17-Jul-26</v>
      </c>
      <c r="H7" t="str" xml:space="preserve">
        <v xml:space="preserve">Saturday_x000d__x000d_
18-Jul-26</v>
      </c>
      <c r="I7" t="str" xml:space="preserve">
        <v xml:space="preserve">Sunday_x000d__x000d_
19-Jul-26</v>
      </c>
      <c r="J7" t="str" xml:space="preserve">
        <v xml:space="preserve">Monday_x000d__x000d_
20-Jul-26</v>
      </c>
      <c r="K7">
        <v>37893</v>
      </c>
      <c r="L7" t="str">
        <v>BAG CRUNCHWRAP</v>
      </c>
      <c r="M7" t="str">
        <v>CARTON-2000</v>
      </c>
      <c r="N7">
        <v>0.03</v>
      </c>
      <c r="O7">
        <v>0.06</v>
      </c>
      <c r="P7">
        <v>0.04</v>
      </c>
      <c r="Q7">
        <v>0.07</v>
      </c>
      <c r="R7">
        <v>0.07</v>
      </c>
      <c r="S7">
        <v>0.08</v>
      </c>
      <c r="T7">
        <v>0.04</v>
      </c>
    </row>
    <row r="8" xml:space="preserve">
      <c r="A8" t="str">
        <v>Item Code</v>
      </c>
      <c r="B8" t="str">
        <v>Item</v>
      </c>
      <c r="C8" t="str">
        <v>Unit</v>
      </c>
      <c r="D8" t="str" xml:space="preserve">
        <v xml:space="preserve">Tuesday_x000d__x000d_
14-Jul-26</v>
      </c>
      <c r="E8" t="str" xml:space="preserve">
        <v xml:space="preserve">Wednesday_x000d__x000d_
15-Jul-26</v>
      </c>
      <c r="F8" t="str" xml:space="preserve">
        <v xml:space="preserve">Thursday_x000d__x000d_
16-Jul-26</v>
      </c>
      <c r="G8" t="str" xml:space="preserve">
        <v xml:space="preserve">Friday_x000d__x000d_
17-Jul-26</v>
      </c>
      <c r="H8" t="str" xml:space="preserve">
        <v xml:space="preserve">Saturday_x000d__x000d_
18-Jul-26</v>
      </c>
      <c r="I8" t="str" xml:space="preserve">
        <v xml:space="preserve">Sunday_x000d__x000d_
19-Jul-26</v>
      </c>
      <c r="J8" t="str" xml:space="preserve">
        <v xml:space="preserve">Monday_x000d__x000d_
20-Jul-26</v>
      </c>
      <c r="K8">
        <v>37997</v>
      </c>
      <c r="L8" t="str">
        <v>BAG NACHO CHIPS LARGE</v>
      </c>
      <c r="M8" t="str">
        <v>CARTON-500</v>
      </c>
      <c r="N8">
        <v>0.04</v>
      </c>
      <c r="O8">
        <v>0.07</v>
      </c>
      <c r="P8">
        <v>0.04</v>
      </c>
      <c r="Q8">
        <v>0.09</v>
      </c>
      <c r="R8">
        <v>0.1</v>
      </c>
      <c r="S8">
        <v>0.08</v>
      </c>
      <c r="T8">
        <v>0.03</v>
      </c>
    </row>
    <row r="9" xml:space="preserve">
      <c r="A9" t="str">
        <v>Item Code</v>
      </c>
      <c r="B9" t="str">
        <v>Item</v>
      </c>
      <c r="C9" t="str">
        <v>Unit</v>
      </c>
      <c r="D9" t="str" xml:space="preserve">
        <v xml:space="preserve">Tuesday_x000d__x000d_
14-Jul-26</v>
      </c>
      <c r="E9" t="str" xml:space="preserve">
        <v xml:space="preserve">Wednesday_x000d__x000d_
15-Jul-26</v>
      </c>
      <c r="F9" t="str" xml:space="preserve">
        <v xml:space="preserve">Thursday_x000d__x000d_
16-Jul-26</v>
      </c>
      <c r="G9" t="str" xml:space="preserve">
        <v xml:space="preserve">Friday_x000d__x000d_
17-Jul-26</v>
      </c>
      <c r="H9" t="str" xml:space="preserve">
        <v xml:space="preserve">Saturday_x000d__x000d_
18-Jul-26</v>
      </c>
      <c r="I9" t="str" xml:space="preserve">
        <v xml:space="preserve">Sunday_x000d__x000d_
19-Jul-26</v>
      </c>
      <c r="J9" t="str" xml:space="preserve">
        <v xml:space="preserve">Monday_x000d__x000d_
20-Jul-26</v>
      </c>
      <c r="K9">
        <v>37991</v>
      </c>
      <c r="L9" t="str">
        <v>BAG TAKEAWAY BROWN LARGE 2</v>
      </c>
      <c r="M9" t="str">
        <v>CARTON-250</v>
      </c>
      <c r="N9">
        <v>0.16</v>
      </c>
      <c r="O9">
        <v>0.2</v>
      </c>
      <c r="P9">
        <v>0.2</v>
      </c>
      <c r="Q9">
        <v>0.28</v>
      </c>
      <c r="R9">
        <v>0.28</v>
      </c>
      <c r="S9">
        <v>0.25</v>
      </c>
      <c r="T9">
        <v>0.15</v>
      </c>
    </row>
    <row r="10" xml:space="preserve">
      <c r="A10" t="str">
        <v>Item Code</v>
      </c>
      <c r="B10" t="str">
        <v>Item</v>
      </c>
      <c r="C10" t="str">
        <v>Unit</v>
      </c>
      <c r="D10" t="str" xml:space="preserve">
        <v xml:space="preserve">Tuesday_x000d__x000d_
14-Jul-26</v>
      </c>
      <c r="E10" t="str" xml:space="preserve">
        <v xml:space="preserve">Wednesday_x000d__x000d_
15-Jul-26</v>
      </c>
      <c r="F10" t="str" xml:space="preserve">
        <v xml:space="preserve">Thursday_x000d__x000d_
16-Jul-26</v>
      </c>
      <c r="G10" t="str" xml:space="preserve">
        <v xml:space="preserve">Friday_x000d__x000d_
17-Jul-26</v>
      </c>
      <c r="H10" t="str" xml:space="preserve">
        <v xml:space="preserve">Saturday_x000d__x000d_
18-Jul-26</v>
      </c>
      <c r="I10" t="str" xml:space="preserve">
        <v xml:space="preserve">Sunday_x000d__x000d_
19-Jul-26</v>
      </c>
      <c r="J10" t="str" xml:space="preserve">
        <v xml:space="preserve">Monday_x000d__x000d_
20-Jul-26</v>
      </c>
      <c r="K10">
        <v>37989</v>
      </c>
      <c r="L10" t="str">
        <v>BAG TAKEAWAY BROWN MEDIUM</v>
      </c>
      <c r="M10" t="str">
        <v>CARTON-1000</v>
      </c>
      <c r="N10">
        <v>0.17</v>
      </c>
      <c r="O10">
        <v>0.22</v>
      </c>
      <c r="P10">
        <v>0.22</v>
      </c>
      <c r="Q10">
        <v>0.31</v>
      </c>
      <c r="R10">
        <v>0.3</v>
      </c>
      <c r="S10">
        <v>0.28</v>
      </c>
      <c r="T10">
        <v>0.16</v>
      </c>
    </row>
    <row r="11" xml:space="preserve">
      <c r="A11" t="str">
        <v>Item Code</v>
      </c>
      <c r="B11" t="str">
        <v>Item</v>
      </c>
      <c r="C11" t="str">
        <v>Unit</v>
      </c>
      <c r="D11" t="str" xml:space="preserve">
        <v xml:space="preserve">Tuesday_x000d__x000d_
14-Jul-26</v>
      </c>
      <c r="E11" t="str" xml:space="preserve">
        <v xml:space="preserve">Wednesday_x000d__x000d_
15-Jul-26</v>
      </c>
      <c r="F11" t="str" xml:space="preserve">
        <v xml:space="preserve">Thursday_x000d__x000d_
16-Jul-26</v>
      </c>
      <c r="G11" t="str" xml:space="preserve">
        <v xml:space="preserve">Friday_x000d__x000d_
17-Jul-26</v>
      </c>
      <c r="H11" t="str" xml:space="preserve">
        <v xml:space="preserve">Saturday_x000d__x000d_
18-Jul-26</v>
      </c>
      <c r="I11" t="str" xml:space="preserve">
        <v xml:space="preserve">Sunday_x000d__x000d_
19-Jul-26</v>
      </c>
      <c r="J11" t="str" xml:space="preserve">
        <v xml:space="preserve">Monday_x000d__x000d_
20-Jul-26</v>
      </c>
      <c r="K11">
        <v>37987</v>
      </c>
      <c r="L11" t="str">
        <v>BAG TAKEAWAY BROWN SMALL</v>
      </c>
      <c r="M11" t="str">
        <v>CARTON-1000</v>
      </c>
      <c r="N11">
        <v>0.04</v>
      </c>
      <c r="O11">
        <v>0.06</v>
      </c>
      <c r="P11">
        <v>0.06</v>
      </c>
      <c r="Q11">
        <v>0.08</v>
      </c>
      <c r="R11">
        <v>0.08</v>
      </c>
      <c r="S11">
        <v>0.07</v>
      </c>
      <c r="T11">
        <v>0.04</v>
      </c>
    </row>
    <row r="12" xml:space="preserve">
      <c r="A12" t="str">
        <v>Item Code</v>
      </c>
      <c r="B12" t="str">
        <v>Item</v>
      </c>
      <c r="C12" t="str">
        <v>Unit</v>
      </c>
      <c r="D12" t="str" xml:space="preserve">
        <v xml:space="preserve">Tuesday_x000d__x000d_
14-Jul-26</v>
      </c>
      <c r="E12" t="str" xml:space="preserve">
        <v xml:space="preserve">Wednesday_x000d__x000d_
15-Jul-26</v>
      </c>
      <c r="F12" t="str" xml:space="preserve">
        <v xml:space="preserve">Thursday_x000d__x000d_
16-Jul-26</v>
      </c>
      <c r="G12" t="str" xml:space="preserve">
        <v xml:space="preserve">Friday_x000d__x000d_
17-Jul-26</v>
      </c>
      <c r="H12" t="str" xml:space="preserve">
        <v xml:space="preserve">Saturday_x000d__x000d_
18-Jul-26</v>
      </c>
      <c r="I12" t="str" xml:space="preserve">
        <v xml:space="preserve">Sunday_x000d__x000d_
19-Jul-26</v>
      </c>
      <c r="J12" t="str" xml:space="preserve">
        <v xml:space="preserve">Monday_x000d__x000d_
20-Jul-26</v>
      </c>
      <c r="K12">
        <v>37862</v>
      </c>
      <c r="L12" t="str">
        <v>BEANS BLACK COOKED</v>
      </c>
      <c r="M12" t="str">
        <v>CARTON-12x1KG</v>
      </c>
      <c r="N12">
        <v>0.43</v>
      </c>
      <c r="O12">
        <v>0.57</v>
      </c>
      <c r="P12">
        <v>0.55</v>
      </c>
      <c r="Q12">
        <v>1.02</v>
      </c>
      <c r="R12">
        <v>0.74</v>
      </c>
      <c r="S12">
        <v>0.81</v>
      </c>
      <c r="T12">
        <v>0.45</v>
      </c>
    </row>
    <row r="13" xml:space="preserve">
      <c r="A13" t="str">
        <v>Item Code</v>
      </c>
      <c r="B13" t="str">
        <v>Item</v>
      </c>
      <c r="C13" t="str">
        <v>Unit</v>
      </c>
      <c r="D13" t="str" xml:space="preserve">
        <v xml:space="preserve">Tuesday_x000d__x000d_
14-Jul-26</v>
      </c>
      <c r="E13" t="str" xml:space="preserve">
        <v xml:space="preserve">Wednesday_x000d__x000d_
15-Jul-26</v>
      </c>
      <c r="F13" t="str" xml:space="preserve">
        <v xml:space="preserve">Thursday_x000d__x000d_
16-Jul-26</v>
      </c>
      <c r="G13" t="str" xml:space="preserve">
        <v xml:space="preserve">Friday_x000d__x000d_
17-Jul-26</v>
      </c>
      <c r="H13" t="str" xml:space="preserve">
        <v xml:space="preserve">Saturday_x000d__x000d_
18-Jul-26</v>
      </c>
      <c r="I13" t="str" xml:space="preserve">
        <v xml:space="preserve">Sunday_x000d__x000d_
19-Jul-26</v>
      </c>
      <c r="J13" t="str" xml:space="preserve">
        <v xml:space="preserve">Monday_x000d__x000d_
20-Jul-26</v>
      </c>
      <c r="K13">
        <v>38892</v>
      </c>
      <c r="L13" t="str">
        <v>BIG BELL BOX 2</v>
      </c>
      <c r="M13" t="str">
        <v>CARTON-250</v>
      </c>
      <c r="N13">
        <v>0.14</v>
      </c>
      <c r="O13">
        <v>0.18</v>
      </c>
      <c r="P13">
        <v>0.18</v>
      </c>
      <c r="Q13">
        <v>0.27</v>
      </c>
      <c r="R13">
        <v>0.27</v>
      </c>
      <c r="S13">
        <v>0.18</v>
      </c>
      <c r="T13">
        <v>0.12</v>
      </c>
    </row>
    <row r="14" xml:space="preserve">
      <c r="A14" t="str">
        <v>Item Code</v>
      </c>
      <c r="B14" t="str">
        <v>Item</v>
      </c>
      <c r="C14" t="str">
        <v>Unit</v>
      </c>
      <c r="D14" t="str" xml:space="preserve">
        <v xml:space="preserve">Tuesday_x000d__x000d_
14-Jul-26</v>
      </c>
      <c r="E14" t="str" xml:space="preserve">
        <v xml:space="preserve">Wednesday_x000d__x000d_
15-Jul-26</v>
      </c>
      <c r="F14" t="str" xml:space="preserve">
        <v xml:space="preserve">Thursday_x000d__x000d_
16-Jul-26</v>
      </c>
      <c r="G14" t="str" xml:space="preserve">
        <v xml:space="preserve">Friday_x000d__x000d_
17-Jul-26</v>
      </c>
      <c r="H14" t="str" xml:space="preserve">
        <v xml:space="preserve">Saturday_x000d__x000d_
18-Jul-26</v>
      </c>
      <c r="I14" t="str" xml:space="preserve">
        <v xml:space="preserve">Sunday_x000d__x000d_
19-Jul-26</v>
      </c>
      <c r="J14" t="str" xml:space="preserve">
        <v xml:space="preserve">Monday_x000d__x000d_
20-Jul-26</v>
      </c>
      <c r="K14">
        <v>37872</v>
      </c>
      <c r="L14" t="str">
        <v>CANTINA BROWN BOX</v>
      </c>
      <c r="M14" t="str">
        <v>CARTON-200</v>
      </c>
      <c r="N14">
        <v>0.22</v>
      </c>
      <c r="O14">
        <v>0.16</v>
      </c>
      <c r="P14">
        <v>0.16</v>
      </c>
      <c r="Q14">
        <v>0.25</v>
      </c>
      <c r="R14">
        <v>0.24</v>
      </c>
      <c r="S14">
        <v>0.16</v>
      </c>
      <c r="T14">
        <v>0.11</v>
      </c>
    </row>
    <row r="15" xml:space="preserve">
      <c r="A15" t="str">
        <v>Item Code</v>
      </c>
      <c r="B15" t="str">
        <v>Item</v>
      </c>
      <c r="C15" t="str">
        <v>Unit</v>
      </c>
      <c r="D15" t="str" xml:space="preserve">
        <v xml:space="preserve">Tuesday_x000d__x000d_
14-Jul-26</v>
      </c>
      <c r="E15" t="str" xml:space="preserve">
        <v xml:space="preserve">Wednesday_x000d__x000d_
15-Jul-26</v>
      </c>
      <c r="F15" t="str" xml:space="preserve">
        <v xml:space="preserve">Thursday_x000d__x000d_
16-Jul-26</v>
      </c>
      <c r="G15" t="str" xml:space="preserve">
        <v xml:space="preserve">Friday_x000d__x000d_
17-Jul-26</v>
      </c>
      <c r="H15" t="str" xml:space="preserve">
        <v xml:space="preserve">Saturday_x000d__x000d_
18-Jul-26</v>
      </c>
      <c r="I15" t="str" xml:space="preserve">
        <v xml:space="preserve">Sunday_x000d__x000d_
19-Jul-26</v>
      </c>
      <c r="J15" t="str" xml:space="preserve">
        <v xml:space="preserve">Monday_x000d__x000d_
20-Jul-26</v>
      </c>
      <c r="K15">
        <v>37876</v>
      </c>
      <c r="L15" t="str">
        <v>CHEESE BLEND MOZZ/CHEDD (PIZZA) SHRED</v>
      </c>
      <c r="M15" t="str">
        <v>CARTON-6x2KG</v>
      </c>
      <c r="N15">
        <v>0.27</v>
      </c>
      <c r="O15">
        <v>0.37</v>
      </c>
      <c r="P15">
        <v>0.35</v>
      </c>
      <c r="Q15">
        <v>0.57</v>
      </c>
      <c r="R15">
        <v>0.53</v>
      </c>
      <c r="S15">
        <v>0.5</v>
      </c>
      <c r="T15">
        <v>0.25</v>
      </c>
    </row>
    <row r="16" xml:space="preserve">
      <c r="A16" t="str">
        <v>Item Code</v>
      </c>
      <c r="B16" t="str">
        <v>Item</v>
      </c>
      <c r="C16" t="str">
        <v>Unit</v>
      </c>
      <c r="D16" t="str" xml:space="preserve">
        <v xml:space="preserve">Tuesday_x000d__x000d_
14-Jul-26</v>
      </c>
      <c r="E16" t="str" xml:space="preserve">
        <v xml:space="preserve">Wednesday_x000d__x000d_
15-Jul-26</v>
      </c>
      <c r="F16" t="str" xml:space="preserve">
        <v xml:space="preserve">Thursday_x000d__x000d_
16-Jul-26</v>
      </c>
      <c r="G16" t="str" xml:space="preserve">
        <v xml:space="preserve">Friday_x000d__x000d_
17-Jul-26</v>
      </c>
      <c r="H16" t="str" xml:space="preserve">
        <v xml:space="preserve">Saturday_x000d__x000d_
18-Jul-26</v>
      </c>
      <c r="I16" t="str" xml:space="preserve">
        <v xml:space="preserve">Sunday_x000d__x000d_
19-Jul-26</v>
      </c>
      <c r="J16" t="str" xml:space="preserve">
        <v xml:space="preserve">Monday_x000d__x000d_
20-Jul-26</v>
      </c>
      <c r="K16">
        <v>37911</v>
      </c>
      <c r="L16" t="str">
        <v>CHEESE CHEDD ANGEL HAIR/ S'FINE SHRED</v>
      </c>
      <c r="M16" t="str">
        <v>CARTON-6x2KG</v>
      </c>
      <c r="N16">
        <v>0.13</v>
      </c>
      <c r="O16">
        <v>0.18</v>
      </c>
      <c r="P16">
        <v>0.18</v>
      </c>
      <c r="Q16">
        <v>0.27</v>
      </c>
      <c r="R16">
        <v>0.28</v>
      </c>
      <c r="S16">
        <v>0.24</v>
      </c>
      <c r="T16">
        <v>0.16</v>
      </c>
    </row>
    <row r="17" xml:space="preserve">
      <c r="A17" t="str">
        <v>Item Code</v>
      </c>
      <c r="B17" t="str">
        <v>Item</v>
      </c>
      <c r="C17" t="str">
        <v>Unit</v>
      </c>
      <c r="D17" t="str" xml:space="preserve">
        <v xml:space="preserve">Tuesday_x000d__x000d_
14-Jul-26</v>
      </c>
      <c r="E17" t="str" xml:space="preserve">
        <v xml:space="preserve">Wednesday_x000d__x000d_
15-Jul-26</v>
      </c>
      <c r="F17" t="str" xml:space="preserve">
        <v xml:space="preserve">Thursday_x000d__x000d_
16-Jul-26</v>
      </c>
      <c r="G17" t="str" xml:space="preserve">
        <v xml:space="preserve">Friday_x000d__x000d_
17-Jul-26</v>
      </c>
      <c r="H17" t="str" xml:space="preserve">
        <v xml:space="preserve">Saturday_x000d__x000d_
18-Jul-26</v>
      </c>
      <c r="I17" t="str" xml:space="preserve">
        <v xml:space="preserve">Sunday_x000d__x000d_
19-Jul-26</v>
      </c>
      <c r="J17" t="str" xml:space="preserve">
        <v xml:space="preserve">Monday_x000d__x000d_
20-Jul-26</v>
      </c>
      <c r="K17">
        <v>40303</v>
      </c>
      <c r="L17" t="str">
        <v>CHICKEN CRISPY</v>
      </c>
      <c r="M17" t="str">
        <v>CARTON-6x41</v>
      </c>
      <c r="N17">
        <v>0.37</v>
      </c>
      <c r="O17">
        <v>0.41</v>
      </c>
      <c r="P17">
        <v>0.38</v>
      </c>
      <c r="Q17">
        <v>0.49</v>
      </c>
      <c r="R17">
        <v>0.44</v>
      </c>
      <c r="S17">
        <v>0.5</v>
      </c>
      <c r="T17">
        <v>0.3</v>
      </c>
    </row>
    <row r="18" xml:space="preserve">
      <c r="A18" t="str">
        <v>Item Code</v>
      </c>
      <c r="B18" t="str">
        <v>Item</v>
      </c>
      <c r="C18" t="str">
        <v>Unit</v>
      </c>
      <c r="D18" t="str" xml:space="preserve">
        <v xml:space="preserve">Tuesday_x000d__x000d_
14-Jul-26</v>
      </c>
      <c r="E18" t="str" xml:space="preserve">
        <v xml:space="preserve">Wednesday_x000d__x000d_
15-Jul-26</v>
      </c>
      <c r="F18" t="str" xml:space="preserve">
        <v xml:space="preserve">Thursday_x000d__x000d_
16-Jul-26</v>
      </c>
      <c r="G18" t="str" xml:space="preserve">
        <v xml:space="preserve">Friday_x000d__x000d_
17-Jul-26</v>
      </c>
      <c r="H18" t="str" xml:space="preserve">
        <v xml:space="preserve">Saturday_x000d__x000d_
18-Jul-26</v>
      </c>
      <c r="I18" t="str" xml:space="preserve">
        <v xml:space="preserve">Sunday_x000d__x000d_
19-Jul-26</v>
      </c>
      <c r="J18" t="str" xml:space="preserve">
        <v xml:space="preserve">Monday_x000d__x000d_
20-Jul-26</v>
      </c>
      <c r="K18">
        <v>37887</v>
      </c>
      <c r="L18" t="str">
        <v>CHIP NACHO CORN</v>
      </c>
      <c r="M18" t="str">
        <v>CARTON-4.5KG</v>
      </c>
      <c r="N18">
        <v>0.72</v>
      </c>
      <c r="O18">
        <v>0.8</v>
      </c>
      <c r="P18">
        <v>0.76</v>
      </c>
      <c r="Q18">
        <v>0.98</v>
      </c>
      <c r="R18">
        <v>1.06</v>
      </c>
      <c r="S18">
        <v>0.77</v>
      </c>
      <c r="T18">
        <v>0.66</v>
      </c>
    </row>
    <row r="19" xml:space="preserve">
      <c r="A19" t="str">
        <v>Item Code</v>
      </c>
      <c r="B19" t="str">
        <v>Item</v>
      </c>
      <c r="C19" t="str">
        <v>Unit</v>
      </c>
      <c r="D19" t="str" xml:space="preserve">
        <v xml:space="preserve">Tuesday_x000d__x000d_
14-Jul-26</v>
      </c>
      <c r="E19" t="str" xml:space="preserve">
        <v xml:space="preserve">Wednesday_x000d__x000d_
15-Jul-26</v>
      </c>
      <c r="F19" t="str" xml:space="preserve">
        <v xml:space="preserve">Thursday_x000d__x000d_
16-Jul-26</v>
      </c>
      <c r="G19" t="str" xml:space="preserve">
        <v xml:space="preserve">Friday_x000d__x000d_
17-Jul-26</v>
      </c>
      <c r="H19" t="str" xml:space="preserve">
        <v xml:space="preserve">Saturday_x000d__x000d_
18-Jul-26</v>
      </c>
      <c r="I19" t="str" xml:space="preserve">
        <v xml:space="preserve">Sunday_x000d__x000d_
19-Jul-26</v>
      </c>
      <c r="J19" t="str" xml:space="preserve">
        <v xml:space="preserve">Monday_x000d__x000d_
20-Jul-26</v>
      </c>
      <c r="K19">
        <v>37897</v>
      </c>
      <c r="L19" t="str">
        <v>CHURROS MINI</v>
      </c>
      <c r="M19" t="str">
        <v>CARTON-80</v>
      </c>
      <c r="N19">
        <v>0.5</v>
      </c>
      <c r="O19">
        <v>0.33</v>
      </c>
      <c r="P19">
        <v>0.25</v>
      </c>
      <c r="Q19">
        <v>0.48</v>
      </c>
      <c r="R19">
        <v>0.6</v>
      </c>
      <c r="S19">
        <v>0.45</v>
      </c>
      <c r="T19">
        <v>0.23</v>
      </c>
    </row>
    <row r="20" xml:space="preserve">
      <c r="A20" t="str">
        <v>Item Code</v>
      </c>
      <c r="B20" t="str">
        <v>Item</v>
      </c>
      <c r="C20" t="str">
        <v>Unit</v>
      </c>
      <c r="D20" t="str" xml:space="preserve">
        <v xml:space="preserve">Tuesday_x000d__x000d_
14-Jul-26</v>
      </c>
      <c r="E20" t="str" xml:space="preserve">
        <v xml:space="preserve">Wednesday_x000d__x000d_
15-Jul-26</v>
      </c>
      <c r="F20" t="str" xml:space="preserve">
        <v xml:space="preserve">Thursday_x000d__x000d_
16-Jul-26</v>
      </c>
      <c r="G20" t="str" xml:space="preserve">
        <v xml:space="preserve">Friday_x000d__x000d_
17-Jul-26</v>
      </c>
      <c r="H20" t="str" xml:space="preserve">
        <v xml:space="preserve">Saturday_x000d__x000d_
18-Jul-26</v>
      </c>
      <c r="I20" t="str" xml:space="preserve">
        <v xml:space="preserve">Sunday_x000d__x000d_
19-Jul-26</v>
      </c>
      <c r="J20" t="str" xml:space="preserve">
        <v xml:space="preserve">Monday_x000d__x000d_
20-Jul-26</v>
      </c>
      <c r="K20">
        <v>38352</v>
      </c>
      <c r="L20" t="str">
        <v>CINNAMON TWISTS</v>
      </c>
      <c r="M20" t="str">
        <v>CARTON-4X5KG</v>
      </c>
      <c r="N20">
        <v>0.01</v>
      </c>
      <c r="O20">
        <v>0.01</v>
      </c>
      <c r="P20">
        <v>0.02</v>
      </c>
      <c r="Q20">
        <v>0.02</v>
      </c>
      <c r="R20">
        <v>0.03</v>
      </c>
      <c r="S20">
        <v>0.02</v>
      </c>
      <c r="T20">
        <v>0.01</v>
      </c>
    </row>
    <row r="21" xml:space="preserve">
      <c r="A21" t="str">
        <v>Item Code</v>
      </c>
      <c r="B21" t="str">
        <v>Item</v>
      </c>
      <c r="C21" t="str">
        <v>Unit</v>
      </c>
      <c r="D21" t="str" xml:space="preserve">
        <v xml:space="preserve">Tuesday_x000d__x000d_
14-Jul-26</v>
      </c>
      <c r="E21" t="str" xml:space="preserve">
        <v xml:space="preserve">Wednesday_x000d__x000d_
15-Jul-26</v>
      </c>
      <c r="F21" t="str" xml:space="preserve">
        <v xml:space="preserve">Thursday_x000d__x000d_
16-Jul-26</v>
      </c>
      <c r="G21" t="str" xml:space="preserve">
        <v xml:space="preserve">Friday_x000d__x000d_
17-Jul-26</v>
      </c>
      <c r="H21" t="str" xml:space="preserve">
        <v xml:space="preserve">Saturday_x000d__x000d_
18-Jul-26</v>
      </c>
      <c r="I21" t="str" xml:space="preserve">
        <v xml:space="preserve">Sunday_x000d__x000d_
19-Jul-26</v>
      </c>
      <c r="J21" t="str" xml:space="preserve">
        <v xml:space="preserve">Monday_x000d__x000d_
20-Jul-26</v>
      </c>
      <c r="K21">
        <v>12945</v>
      </c>
      <c r="L21" t="str">
        <v>CREAM SOUR LIGHT</v>
      </c>
      <c r="M21" t="str">
        <v>EACH-5KG</v>
      </c>
      <c r="N21">
        <v>0.81</v>
      </c>
      <c r="O21">
        <v>0.88</v>
      </c>
      <c r="P21">
        <v>0.91</v>
      </c>
      <c r="Q21">
        <v>1.23</v>
      </c>
      <c r="R21">
        <v>1.25</v>
      </c>
      <c r="S21">
        <v>1.17</v>
      </c>
      <c r="T21">
        <v>0.81</v>
      </c>
    </row>
    <row r="22" xml:space="preserve">
      <c r="A22" t="str">
        <v>Item Code</v>
      </c>
      <c r="B22" t="str">
        <v>Item</v>
      </c>
      <c r="C22" t="str">
        <v>Unit</v>
      </c>
      <c r="D22" t="str" xml:space="preserve">
        <v xml:space="preserve">Tuesday_x000d__x000d_
14-Jul-26</v>
      </c>
      <c r="E22" t="str" xml:space="preserve">
        <v xml:space="preserve">Wednesday_x000d__x000d_
15-Jul-26</v>
      </c>
      <c r="F22" t="str" xml:space="preserve">
        <v xml:space="preserve">Thursday_x000d__x000d_
16-Jul-26</v>
      </c>
      <c r="G22" t="str" xml:space="preserve">
        <v xml:space="preserve">Friday_x000d__x000d_
17-Jul-26</v>
      </c>
      <c r="H22" t="str" xml:space="preserve">
        <v xml:space="preserve">Saturday_x000d__x000d_
18-Jul-26</v>
      </c>
      <c r="I22" t="str" xml:space="preserve">
        <v xml:space="preserve">Sunday_x000d__x000d_
19-Jul-26</v>
      </c>
      <c r="J22" t="str" xml:space="preserve">
        <v xml:space="preserve">Monday_x000d__x000d_
20-Jul-26</v>
      </c>
      <c r="K22">
        <v>37378</v>
      </c>
      <c r="L22" t="str">
        <v>CUP FCB 590 ML CH</v>
      </c>
      <c r="M22" t="str">
        <v>CARTON-1000</v>
      </c>
      <c r="N22">
        <v>0.01</v>
      </c>
      <c r="O22">
        <v>0.01</v>
      </c>
      <c r="P22">
        <v>0.01</v>
      </c>
      <c r="Q22">
        <v>0.02</v>
      </c>
      <c r="R22">
        <v>0.01</v>
      </c>
      <c r="S22">
        <v>0.01</v>
      </c>
      <c r="T22">
        <v>0.01</v>
      </c>
    </row>
    <row r="23" xml:space="preserve">
      <c r="A23" t="str">
        <v>Item Code</v>
      </c>
      <c r="B23" t="str">
        <v>Item</v>
      </c>
      <c r="C23" t="str">
        <v>Unit</v>
      </c>
      <c r="D23" t="str" xml:space="preserve">
        <v xml:space="preserve">Tuesday_x000d__x000d_
14-Jul-26</v>
      </c>
      <c r="E23" t="str" xml:space="preserve">
        <v xml:space="preserve">Wednesday_x000d__x000d_
15-Jul-26</v>
      </c>
      <c r="F23" t="str" xml:space="preserve">
        <v xml:space="preserve">Thursday_x000d__x000d_
16-Jul-26</v>
      </c>
      <c r="G23" t="str" xml:space="preserve">
        <v xml:space="preserve">Friday_x000d__x000d_
17-Jul-26</v>
      </c>
      <c r="H23" t="str" xml:space="preserve">
        <v xml:space="preserve">Saturday_x000d__x000d_
18-Jul-26</v>
      </c>
      <c r="I23" t="str" xml:space="preserve">
        <v xml:space="preserve">Sunday_x000d__x000d_
19-Jul-26</v>
      </c>
      <c r="J23" t="str" xml:space="preserve">
        <v xml:space="preserve">Monday_x000d__x000d_
20-Jul-26</v>
      </c>
      <c r="K23">
        <v>37856</v>
      </c>
      <c r="L23" t="str">
        <v>CUP POSTMIX LARGE</v>
      </c>
      <c r="M23" t="str">
        <v>CARTON-1000</v>
      </c>
      <c r="N23">
        <v>0.05</v>
      </c>
      <c r="O23">
        <v>0.05</v>
      </c>
      <c r="P23">
        <v>0.06</v>
      </c>
      <c r="Q23">
        <v>0.09</v>
      </c>
      <c r="R23">
        <v>0.08</v>
      </c>
      <c r="S23">
        <v>0.08</v>
      </c>
      <c r="T23">
        <v>0.04</v>
      </c>
    </row>
    <row r="24" xml:space="preserve">
      <c r="A24" t="str">
        <v>Item Code</v>
      </c>
      <c r="B24" t="str">
        <v>Item</v>
      </c>
      <c r="C24" t="str">
        <v>Unit</v>
      </c>
      <c r="D24" t="str" xml:space="preserve">
        <v xml:space="preserve">Tuesday_x000d__x000d_
14-Jul-26</v>
      </c>
      <c r="E24" t="str" xml:space="preserve">
        <v xml:space="preserve">Wednesday_x000d__x000d_
15-Jul-26</v>
      </c>
      <c r="F24" t="str" xml:space="preserve">
        <v xml:space="preserve">Thursday_x000d__x000d_
16-Jul-26</v>
      </c>
      <c r="G24" t="str" xml:space="preserve">
        <v xml:space="preserve">Friday_x000d__x000d_
17-Jul-26</v>
      </c>
      <c r="H24" t="str" xml:space="preserve">
        <v xml:space="preserve">Saturday_x000d__x000d_
18-Jul-26</v>
      </c>
      <c r="I24" t="str" xml:space="preserve">
        <v xml:space="preserve">Sunday_x000d__x000d_
19-Jul-26</v>
      </c>
      <c r="J24" t="str" xml:space="preserve">
        <v xml:space="preserve">Monday_x000d__x000d_
20-Jul-26</v>
      </c>
      <c r="K24">
        <v>37854</v>
      </c>
      <c r="L24" t="str">
        <v>CUP POSTMIX REGULAR</v>
      </c>
      <c r="M24" t="str">
        <v>CARTON-1000</v>
      </c>
      <c r="N24">
        <v>0.08</v>
      </c>
      <c r="O24">
        <v>0.1</v>
      </c>
      <c r="P24">
        <v>0.09</v>
      </c>
      <c r="Q24">
        <v>0.18</v>
      </c>
      <c r="R24">
        <v>0.17</v>
      </c>
      <c r="S24">
        <v>0.12</v>
      </c>
      <c r="T24">
        <v>0.08</v>
      </c>
    </row>
    <row r="25" xml:space="preserve">
      <c r="A25" t="str">
        <v>Item Code</v>
      </c>
      <c r="B25" t="str">
        <v>Item</v>
      </c>
      <c r="C25" t="str">
        <v>Unit</v>
      </c>
      <c r="D25" t="str" xml:space="preserve">
        <v xml:space="preserve">Tuesday_x000d__x000d_
14-Jul-26</v>
      </c>
      <c r="E25" t="str" xml:space="preserve">
        <v xml:space="preserve">Wednesday_x000d__x000d_
15-Jul-26</v>
      </c>
      <c r="F25" t="str" xml:space="preserve">
        <v xml:space="preserve">Thursday_x000d__x000d_
16-Jul-26</v>
      </c>
      <c r="G25" t="str" xml:space="preserve">
        <v xml:space="preserve">Friday_x000d__x000d_
17-Jul-26</v>
      </c>
      <c r="H25" t="str" xml:space="preserve">
        <v xml:space="preserve">Saturday_x000d__x000d_
18-Jul-26</v>
      </c>
      <c r="I25" t="str" xml:space="preserve">
        <v xml:space="preserve">Sunday_x000d__x000d_
19-Jul-26</v>
      </c>
      <c r="J25" t="str" xml:space="preserve">
        <v xml:space="preserve">Monday_x000d__x000d_
20-Jul-26</v>
      </c>
      <c r="K25">
        <v>11172</v>
      </c>
      <c r="L25" t="str">
        <v>DESSERT CHOCETTES</v>
      </c>
      <c r="M25" t="str">
        <v>CARTON-2x2.5KG</v>
      </c>
      <c r="N25">
        <v>0.07</v>
      </c>
      <c r="O25">
        <v>0.09</v>
      </c>
      <c r="P25">
        <v>0.03</v>
      </c>
      <c r="Q25">
        <v>0.09</v>
      </c>
      <c r="R25">
        <v>0.12</v>
      </c>
      <c r="S25">
        <v>0.06</v>
      </c>
      <c r="T25">
        <v>0.03</v>
      </c>
    </row>
    <row r="26" xml:space="preserve">
      <c r="A26" t="str">
        <v>Item Code</v>
      </c>
      <c r="B26" t="str">
        <v>Item</v>
      </c>
      <c r="C26" t="str">
        <v>Unit</v>
      </c>
      <c r="D26" t="str" xml:space="preserve">
        <v xml:space="preserve">Tuesday_x000d__x000d_
14-Jul-26</v>
      </c>
      <c r="E26" t="str" xml:space="preserve">
        <v xml:space="preserve">Wednesday_x000d__x000d_
15-Jul-26</v>
      </c>
      <c r="F26" t="str" xml:space="preserve">
        <v xml:space="preserve">Thursday_x000d__x000d_
16-Jul-26</v>
      </c>
      <c r="G26" t="str" xml:space="preserve">
        <v xml:space="preserve">Friday_x000d__x000d_
17-Jul-26</v>
      </c>
      <c r="H26" t="str" xml:space="preserve">
        <v xml:space="preserve">Saturday_x000d__x000d_
18-Jul-26</v>
      </c>
      <c r="I26" t="str" xml:space="preserve">
        <v xml:space="preserve">Sunday_x000d__x000d_
19-Jul-26</v>
      </c>
      <c r="J26" t="str" xml:space="preserve">
        <v xml:space="preserve">Monday_x000d__x000d_
20-Jul-26</v>
      </c>
      <c r="K26">
        <v>39744</v>
      </c>
      <c r="L26" t="str">
        <v>DIPPING CUP 60ML</v>
      </c>
      <c r="M26" t="str">
        <v>CARTON-1000</v>
      </c>
      <c r="N26">
        <v>0.12</v>
      </c>
      <c r="O26">
        <v>0.18</v>
      </c>
      <c r="P26">
        <v>0.14</v>
      </c>
      <c r="Q26">
        <v>0.21</v>
      </c>
      <c r="R26">
        <v>0.2</v>
      </c>
      <c r="S26">
        <v>0.19</v>
      </c>
      <c r="T26">
        <v>0.09</v>
      </c>
    </row>
    <row r="27" xml:space="preserve">
      <c r="A27" t="str">
        <v>Item Code</v>
      </c>
      <c r="B27" t="str">
        <v>Item</v>
      </c>
      <c r="C27" t="str">
        <v>Unit</v>
      </c>
      <c r="D27" t="str" xml:space="preserve">
        <v xml:space="preserve">Tuesday_x000d__x000d_
14-Jul-26</v>
      </c>
      <c r="E27" t="str" xml:space="preserve">
        <v xml:space="preserve">Wednesday_x000d__x000d_
15-Jul-26</v>
      </c>
      <c r="F27" t="str" xml:space="preserve">
        <v xml:space="preserve">Thursday_x000d__x000d_
16-Jul-26</v>
      </c>
      <c r="G27" t="str" xml:space="preserve">
        <v xml:space="preserve">Friday_x000d__x000d_
17-Jul-26</v>
      </c>
      <c r="H27" t="str" xml:space="preserve">
        <v xml:space="preserve">Saturday_x000d__x000d_
18-Jul-26</v>
      </c>
      <c r="I27" t="str" xml:space="preserve">
        <v xml:space="preserve">Sunday_x000d__x000d_
19-Jul-26</v>
      </c>
      <c r="J27" t="str" xml:space="preserve">
        <v xml:space="preserve">Monday_x000d__x000d_
20-Jul-26</v>
      </c>
      <c r="K27">
        <v>16520</v>
      </c>
      <c r="L27" t="str">
        <v>DRINK 7UP 600ML PET</v>
      </c>
      <c r="M27" t="str">
        <v>CARTON-24</v>
      </c>
      <c r="N27">
        <v>0.08</v>
      </c>
      <c r="O27">
        <v>0.17</v>
      </c>
      <c r="P27">
        <v>0.08</v>
      </c>
      <c r="Q27">
        <v>0</v>
      </c>
      <c r="R27">
        <v>0.13</v>
      </c>
      <c r="S27">
        <v>0.17</v>
      </c>
      <c r="T27">
        <v>0.04</v>
      </c>
    </row>
    <row r="28" xml:space="preserve">
      <c r="A28" t="str">
        <v>Item Code</v>
      </c>
      <c r="B28" t="str">
        <v>Item</v>
      </c>
      <c r="C28" t="str">
        <v>Unit</v>
      </c>
      <c r="D28" t="str" xml:space="preserve">
        <v xml:space="preserve">Tuesday_x000d__x000d_
14-Jul-26</v>
      </c>
      <c r="E28" t="str" xml:space="preserve">
        <v xml:space="preserve">Wednesday_x000d__x000d_
15-Jul-26</v>
      </c>
      <c r="F28" t="str" xml:space="preserve">
        <v xml:space="preserve">Thursday_x000d__x000d_
16-Jul-26</v>
      </c>
      <c r="G28" t="str" xml:space="preserve">
        <v xml:space="preserve">Friday_x000d__x000d_
17-Jul-26</v>
      </c>
      <c r="H28" t="str" xml:space="preserve">
        <v xml:space="preserve">Saturday_x000d__x000d_
18-Jul-26</v>
      </c>
      <c r="I28" t="str" xml:space="preserve">
        <v xml:space="preserve">Sunday_x000d__x000d_
19-Jul-26</v>
      </c>
      <c r="J28" t="str" xml:space="preserve">
        <v xml:space="preserve">Monday_x000d__x000d_
20-Jul-26</v>
      </c>
      <c r="K28">
        <v>12153</v>
      </c>
      <c r="L28" t="str">
        <v>DRINK 7UP BIB 15L</v>
      </c>
      <c r="M28" t="str">
        <v>CARTON-15L</v>
      </c>
      <c r="N28">
        <v>0.02</v>
      </c>
      <c r="O28">
        <v>0.04</v>
      </c>
      <c r="P28">
        <v>0.03</v>
      </c>
      <c r="Q28">
        <v>0.02</v>
      </c>
      <c r="R28">
        <v>0.04</v>
      </c>
      <c r="S28">
        <v>0.03</v>
      </c>
      <c r="T28">
        <v>0.03</v>
      </c>
    </row>
    <row r="29" xml:space="preserve">
      <c r="A29" t="str">
        <v>Item Code</v>
      </c>
      <c r="B29" t="str">
        <v>Item</v>
      </c>
      <c r="C29" t="str">
        <v>Unit</v>
      </c>
      <c r="D29" t="str" xml:space="preserve">
        <v xml:space="preserve">Tuesday_x000d__x000d_
14-Jul-26</v>
      </c>
      <c r="E29" t="str" xml:space="preserve">
        <v xml:space="preserve">Wednesday_x000d__x000d_
15-Jul-26</v>
      </c>
      <c r="F29" t="str" xml:space="preserve">
        <v xml:space="preserve">Thursday_x000d__x000d_
16-Jul-26</v>
      </c>
      <c r="G29" t="str" xml:space="preserve">
        <v xml:space="preserve">Friday_x000d__x000d_
17-Jul-26</v>
      </c>
      <c r="H29" t="str" xml:space="preserve">
        <v xml:space="preserve">Saturday_x000d__x000d_
18-Jul-26</v>
      </c>
      <c r="I29" t="str" xml:space="preserve">
        <v xml:space="preserve">Sunday_x000d__x000d_
19-Jul-26</v>
      </c>
      <c r="J29" t="str" xml:space="preserve">
        <v xml:space="preserve">Monday_x000d__x000d_
20-Jul-26</v>
      </c>
      <c r="K29">
        <v>14602</v>
      </c>
      <c r="L29" t="str">
        <v>DRINK 7UP CAN</v>
      </c>
      <c r="M29" t="str">
        <v>CARTON-30</v>
      </c>
      <c r="N29">
        <v>0.07</v>
      </c>
      <c r="O29">
        <v>0.1</v>
      </c>
      <c r="P29">
        <v>0.07</v>
      </c>
      <c r="Q29">
        <v>0.07</v>
      </c>
      <c r="R29">
        <v>0</v>
      </c>
      <c r="S29">
        <v>0.03</v>
      </c>
      <c r="T29">
        <v>0.13</v>
      </c>
    </row>
    <row r="30" xml:space="preserve">
      <c r="A30" t="str">
        <v>Item Code</v>
      </c>
      <c r="B30" t="str">
        <v>Item</v>
      </c>
      <c r="C30" t="str">
        <v>Unit</v>
      </c>
      <c r="D30" t="str" xml:space="preserve">
        <v xml:space="preserve">Tuesday_x000d__x000d_
14-Jul-26</v>
      </c>
      <c r="E30" t="str" xml:space="preserve">
        <v xml:space="preserve">Wednesday_x000d__x000d_
15-Jul-26</v>
      </c>
      <c r="F30" t="str" xml:space="preserve">
        <v xml:space="preserve">Thursday_x000d__x000d_
16-Jul-26</v>
      </c>
      <c r="G30" t="str" xml:space="preserve">
        <v xml:space="preserve">Friday_x000d__x000d_
17-Jul-26</v>
      </c>
      <c r="H30" t="str" xml:space="preserve">
        <v xml:space="preserve">Saturday_x000d__x000d_
18-Jul-26</v>
      </c>
      <c r="I30" t="str" xml:space="preserve">
        <v xml:space="preserve">Sunday_x000d__x000d_
19-Jul-26</v>
      </c>
      <c r="J30" t="str" xml:space="preserve">
        <v xml:space="preserve">Monday_x000d__x000d_
20-Jul-26</v>
      </c>
      <c r="K30">
        <v>38239</v>
      </c>
      <c r="L30" t="str">
        <v>DRINK DARE ICED COFFEE DOUBLE</v>
      </c>
      <c r="M30" t="str">
        <v>EACH</v>
      </c>
      <c r="N30">
        <v>1</v>
      </c>
      <c r="O30">
        <v>3</v>
      </c>
      <c r="P30">
        <v>1</v>
      </c>
      <c r="Q30">
        <v>1</v>
      </c>
      <c r="R30">
        <v>3</v>
      </c>
      <c r="S30">
        <v>1</v>
      </c>
      <c r="T30">
        <v>1</v>
      </c>
    </row>
    <row r="31" xml:space="preserve">
      <c r="A31" t="str">
        <v>Item Code</v>
      </c>
      <c r="B31" t="str">
        <v>Item</v>
      </c>
      <c r="C31" t="str">
        <v>Unit</v>
      </c>
      <c r="D31" t="str" xml:space="preserve">
        <v xml:space="preserve">Tuesday_x000d__x000d_
14-Jul-26</v>
      </c>
      <c r="E31" t="str" xml:space="preserve">
        <v xml:space="preserve">Wednesday_x000d__x000d_
15-Jul-26</v>
      </c>
      <c r="F31" t="str" xml:space="preserve">
        <v xml:space="preserve">Thursday_x000d__x000d_
16-Jul-26</v>
      </c>
      <c r="G31" t="str" xml:space="preserve">
        <v xml:space="preserve">Friday_x000d__x000d_
17-Jul-26</v>
      </c>
      <c r="H31" t="str" xml:space="preserve">
        <v xml:space="preserve">Saturday_x000d__x000d_
18-Jul-26</v>
      </c>
      <c r="I31" t="str" xml:space="preserve">
        <v xml:space="preserve">Sunday_x000d__x000d_
19-Jul-26</v>
      </c>
      <c r="J31" t="str" xml:space="preserve">
        <v xml:space="preserve">Monday_x000d__x000d_
20-Jul-26</v>
      </c>
      <c r="K31">
        <v>36224</v>
      </c>
      <c r="L31" t="str">
        <v>DRINK FCB FREEZE MOUNTAIN DEW 10L</v>
      </c>
      <c r="M31" t="str">
        <v>CARTON-10L</v>
      </c>
      <c r="N31">
        <v>0.01</v>
      </c>
      <c r="O31">
        <v>0.01</v>
      </c>
      <c r="P31">
        <v>0.03</v>
      </c>
      <c r="Q31">
        <v>0.04</v>
      </c>
      <c r="R31">
        <v>0</v>
      </c>
      <c r="S31">
        <v>0</v>
      </c>
      <c r="T31">
        <v>0.02</v>
      </c>
    </row>
    <row r="32" xml:space="preserve">
      <c r="A32" t="str">
        <v>Item Code</v>
      </c>
      <c r="B32" t="str">
        <v>Item</v>
      </c>
      <c r="C32" t="str">
        <v>Unit</v>
      </c>
      <c r="D32" t="str" xml:space="preserve">
        <v xml:space="preserve">Tuesday_x000d__x000d_
14-Jul-26</v>
      </c>
      <c r="E32" t="str" xml:space="preserve">
        <v xml:space="preserve">Wednesday_x000d__x000d_
15-Jul-26</v>
      </c>
      <c r="F32" t="str" xml:space="preserve">
        <v xml:space="preserve">Thursday_x000d__x000d_
16-Jul-26</v>
      </c>
      <c r="G32" t="str" xml:space="preserve">
        <v xml:space="preserve">Friday_x000d__x000d_
17-Jul-26</v>
      </c>
      <c r="H32" t="str" xml:space="preserve">
        <v xml:space="preserve">Saturday_x000d__x000d_
18-Jul-26</v>
      </c>
      <c r="I32" t="str" xml:space="preserve">
        <v xml:space="preserve">Sunday_x000d__x000d_
19-Jul-26</v>
      </c>
      <c r="J32" t="str" xml:space="preserve">
        <v xml:space="preserve">Monday_x000d__x000d_
20-Jul-26</v>
      </c>
      <c r="K32">
        <v>36128</v>
      </c>
      <c r="L32" t="str">
        <v>DRINK FCB FREEZE PEPSI 10L</v>
      </c>
      <c r="M32" t="str">
        <v>CARTON-10L</v>
      </c>
      <c r="N32">
        <v>0.04</v>
      </c>
      <c r="O32">
        <v>0.03</v>
      </c>
      <c r="P32">
        <v>0.01</v>
      </c>
      <c r="Q32">
        <v>0.04</v>
      </c>
      <c r="R32">
        <v>0.04</v>
      </c>
      <c r="S32">
        <v>0.04</v>
      </c>
      <c r="T32">
        <v>0.03</v>
      </c>
    </row>
    <row r="33" xml:space="preserve">
      <c r="A33" t="str">
        <v>Item Code</v>
      </c>
      <c r="B33" t="str">
        <v>Item</v>
      </c>
      <c r="C33" t="str">
        <v>Unit</v>
      </c>
      <c r="D33" t="str" xml:space="preserve">
        <v xml:space="preserve">Tuesday_x000d__x000d_
14-Jul-26</v>
      </c>
      <c r="E33" t="str" xml:space="preserve">
        <v xml:space="preserve">Wednesday_x000d__x000d_
15-Jul-26</v>
      </c>
      <c r="F33" t="str" xml:space="preserve">
        <v xml:space="preserve">Thursday_x000d__x000d_
16-Jul-26</v>
      </c>
      <c r="G33" t="str" xml:space="preserve">
        <v xml:space="preserve">Friday_x000d__x000d_
17-Jul-26</v>
      </c>
      <c r="H33" t="str" xml:space="preserve">
        <v xml:space="preserve">Saturday_x000d__x000d_
18-Jul-26</v>
      </c>
      <c r="I33" t="str" xml:space="preserve">
        <v xml:space="preserve">Sunday_x000d__x000d_
19-Jul-26</v>
      </c>
      <c r="J33" t="str" xml:space="preserve">
        <v xml:space="preserve">Monday_x000d__x000d_
20-Jul-26</v>
      </c>
      <c r="K33">
        <v>38531</v>
      </c>
      <c r="L33" t="str">
        <v>DRINK FCB FREEZE TRAD RASPBERRY 10L</v>
      </c>
      <c r="M33" t="str">
        <v>CARTON-10L</v>
      </c>
      <c r="N33">
        <v>0</v>
      </c>
      <c r="O33">
        <v>0</v>
      </c>
      <c r="P33">
        <v>0.01</v>
      </c>
      <c r="Q33">
        <v>0.01</v>
      </c>
      <c r="R33">
        <v>0.01</v>
      </c>
      <c r="S33">
        <v>0.01</v>
      </c>
      <c r="T33">
        <v>0</v>
      </c>
    </row>
    <row r="34" xml:space="preserve">
      <c r="A34" t="str">
        <v>Item Code</v>
      </c>
      <c r="B34" t="str">
        <v>Item</v>
      </c>
      <c r="C34" t="str">
        <v>Unit</v>
      </c>
      <c r="D34" t="str" xml:space="preserve">
        <v xml:space="preserve">Tuesday_x000d__x000d_
14-Jul-26</v>
      </c>
      <c r="E34" t="str" xml:space="preserve">
        <v xml:space="preserve">Wednesday_x000d__x000d_
15-Jul-26</v>
      </c>
      <c r="F34" t="str" xml:space="preserve">
        <v xml:space="preserve">Thursday_x000d__x000d_
16-Jul-26</v>
      </c>
      <c r="G34" t="str" xml:space="preserve">
        <v xml:space="preserve">Friday_x000d__x000d_
17-Jul-26</v>
      </c>
      <c r="H34" t="str" xml:space="preserve">
        <v xml:space="preserve">Saturday_x000d__x000d_
18-Jul-26</v>
      </c>
      <c r="I34" t="str" xml:space="preserve">
        <v xml:space="preserve">Sunday_x000d__x000d_
19-Jul-26</v>
      </c>
      <c r="J34" t="str" xml:space="preserve">
        <v xml:space="preserve">Monday_x000d__x000d_
20-Jul-26</v>
      </c>
      <c r="K34">
        <v>100399</v>
      </c>
      <c r="L34" t="str">
        <v>DRINK JUICE APPLE SPRING VALLEY</v>
      </c>
      <c r="M34" t="str">
        <v>CARTON-18</v>
      </c>
      <c r="N34">
        <v>0</v>
      </c>
      <c r="O34">
        <v>0.06</v>
      </c>
      <c r="P34">
        <v>0.11</v>
      </c>
      <c r="Q34">
        <v>0</v>
      </c>
      <c r="R34">
        <v>0</v>
      </c>
      <c r="S34">
        <v>0.06</v>
      </c>
      <c r="T34">
        <v>0.17</v>
      </c>
    </row>
    <row r="35" xml:space="preserve">
      <c r="A35" t="str">
        <v>Item Code</v>
      </c>
      <c r="B35" t="str">
        <v>Item</v>
      </c>
      <c r="C35" t="str">
        <v>Unit</v>
      </c>
      <c r="D35" t="str" xml:space="preserve">
        <v xml:space="preserve">Tuesday_x000d__x000d_
14-Jul-26</v>
      </c>
      <c r="E35" t="str" xml:space="preserve">
        <v xml:space="preserve">Wednesday_x000d__x000d_
15-Jul-26</v>
      </c>
      <c r="F35" t="str" xml:space="preserve">
        <v xml:space="preserve">Thursday_x000d__x000d_
16-Jul-26</v>
      </c>
      <c r="G35" t="str" xml:space="preserve">
        <v xml:space="preserve">Friday_x000d__x000d_
17-Jul-26</v>
      </c>
      <c r="H35" t="str" xml:space="preserve">
        <v xml:space="preserve">Saturday_x000d__x000d_
18-Jul-26</v>
      </c>
      <c r="I35" t="str" xml:space="preserve">
        <v xml:space="preserve">Sunday_x000d__x000d_
19-Jul-26</v>
      </c>
      <c r="J35" t="str" xml:space="preserve">
        <v xml:space="preserve">Monday_x000d__x000d_
20-Jul-26</v>
      </c>
      <c r="K35">
        <v>100400</v>
      </c>
      <c r="L35" t="str">
        <v>DRINK JUICE POP TOP APPLE 250ML</v>
      </c>
      <c r="M35" t="str">
        <v>CARTON-24</v>
      </c>
      <c r="N35">
        <v>0</v>
      </c>
      <c r="O35">
        <v>0.04</v>
      </c>
      <c r="P35">
        <v>0.08</v>
      </c>
      <c r="Q35">
        <v>0.08</v>
      </c>
      <c r="R35">
        <v>0.13</v>
      </c>
      <c r="S35">
        <v>0.13</v>
      </c>
      <c r="T35">
        <v>0.04</v>
      </c>
    </row>
    <row r="36" xml:space="preserve">
      <c r="A36" t="str">
        <v>Item Code</v>
      </c>
      <c r="B36" t="str">
        <v>Item</v>
      </c>
      <c r="C36" t="str">
        <v>Unit</v>
      </c>
      <c r="D36" t="str" xml:space="preserve">
        <v xml:space="preserve">Tuesday_x000d__x000d_
14-Jul-26</v>
      </c>
      <c r="E36" t="str" xml:space="preserve">
        <v xml:space="preserve">Wednesday_x000d__x000d_
15-Jul-26</v>
      </c>
      <c r="F36" t="str" xml:space="preserve">
        <v xml:space="preserve">Thursday_x000d__x000d_
16-Jul-26</v>
      </c>
      <c r="G36" t="str" xml:space="preserve">
        <v xml:space="preserve">Friday_x000d__x000d_
17-Jul-26</v>
      </c>
      <c r="H36" t="str" xml:space="preserve">
        <v xml:space="preserve">Saturday_x000d__x000d_
18-Jul-26</v>
      </c>
      <c r="I36" t="str" xml:space="preserve">
        <v xml:space="preserve">Sunday_x000d__x000d_
19-Jul-26</v>
      </c>
      <c r="J36" t="str" xml:space="preserve">
        <v xml:space="preserve">Monday_x000d__x000d_
20-Jul-26</v>
      </c>
      <c r="K36">
        <v>100401</v>
      </c>
      <c r="L36" t="str">
        <v>DRINK JUICE POP TOP ORANGE 250ML</v>
      </c>
      <c r="M36" t="str">
        <v>CARTON-24</v>
      </c>
      <c r="N36">
        <v>0</v>
      </c>
      <c r="O36">
        <v>0.04</v>
      </c>
      <c r="P36">
        <v>0.04</v>
      </c>
      <c r="Q36">
        <v>0</v>
      </c>
      <c r="R36">
        <v>0.04</v>
      </c>
      <c r="S36">
        <v>0</v>
      </c>
      <c r="T36">
        <v>0.04</v>
      </c>
    </row>
    <row r="37" xml:space="preserve">
      <c r="A37" t="str">
        <v>Item Code</v>
      </c>
      <c r="B37" t="str">
        <v>Item</v>
      </c>
      <c r="C37" t="str">
        <v>Unit</v>
      </c>
      <c r="D37" t="str" xml:space="preserve">
        <v xml:space="preserve">Tuesday_x000d__x000d_
14-Jul-26</v>
      </c>
      <c r="E37" t="str" xml:space="preserve">
        <v xml:space="preserve">Wednesday_x000d__x000d_
15-Jul-26</v>
      </c>
      <c r="F37" t="str" xml:space="preserve">
        <v xml:space="preserve">Thursday_x000d__x000d_
16-Jul-26</v>
      </c>
      <c r="G37" t="str" xml:space="preserve">
        <v xml:space="preserve">Friday_x000d__x000d_
17-Jul-26</v>
      </c>
      <c r="H37" t="str" xml:space="preserve">
        <v xml:space="preserve">Saturday_x000d__x000d_
18-Jul-26</v>
      </c>
      <c r="I37" t="str" xml:space="preserve">
        <v xml:space="preserve">Sunday_x000d__x000d_
19-Jul-26</v>
      </c>
      <c r="J37" t="str" xml:space="preserve">
        <v xml:space="preserve">Monday_x000d__x000d_
20-Jul-26</v>
      </c>
      <c r="K37">
        <v>38704</v>
      </c>
      <c r="L37" t="str">
        <v>DRINK LIPTON ICE TEA LEMON 500ML</v>
      </c>
      <c r="M37" t="str">
        <v>CARTON-24</v>
      </c>
      <c r="N37">
        <v>0</v>
      </c>
      <c r="O37">
        <v>0</v>
      </c>
      <c r="P37">
        <v>0</v>
      </c>
      <c r="Q37">
        <v>0</v>
      </c>
      <c r="R37">
        <v>0.04</v>
      </c>
      <c r="S37">
        <v>0.04</v>
      </c>
      <c r="T37">
        <v>0.04</v>
      </c>
    </row>
    <row r="38" xml:space="preserve">
      <c r="A38" t="str">
        <v>Item Code</v>
      </c>
      <c r="B38" t="str">
        <v>Item</v>
      </c>
      <c r="C38" t="str">
        <v>Unit</v>
      </c>
      <c r="D38" t="str" xml:space="preserve">
        <v xml:space="preserve">Tuesday_x000d__x000d_
14-Jul-26</v>
      </c>
      <c r="E38" t="str" xml:space="preserve">
        <v xml:space="preserve">Wednesday_x000d__x000d_
15-Jul-26</v>
      </c>
      <c r="F38" t="str" xml:space="preserve">
        <v xml:space="preserve">Thursday_x000d__x000d_
16-Jul-26</v>
      </c>
      <c r="G38" t="str" xml:space="preserve">
        <v xml:space="preserve">Friday_x000d__x000d_
17-Jul-26</v>
      </c>
      <c r="H38" t="str" xml:space="preserve">
        <v xml:space="preserve">Saturday_x000d__x000d_
18-Jul-26</v>
      </c>
      <c r="I38" t="str" xml:space="preserve">
        <v xml:space="preserve">Sunday_x000d__x000d_
19-Jul-26</v>
      </c>
      <c r="J38" t="str" xml:space="preserve">
        <v xml:space="preserve">Monday_x000d__x000d_
20-Jul-26</v>
      </c>
      <c r="K38">
        <v>38705</v>
      </c>
      <c r="L38" t="str">
        <v>DRINK LIPTON ICE TEA PEACH</v>
      </c>
      <c r="M38" t="str">
        <v>CARTON-24</v>
      </c>
      <c r="N38">
        <v>0.04</v>
      </c>
      <c r="O38">
        <v>0.33</v>
      </c>
      <c r="P38">
        <v>0.04</v>
      </c>
      <c r="Q38">
        <v>0.17</v>
      </c>
      <c r="R38">
        <v>0.13</v>
      </c>
      <c r="S38">
        <v>0.08</v>
      </c>
      <c r="T38">
        <v>0.08</v>
      </c>
    </row>
    <row r="39" xml:space="preserve">
      <c r="A39" t="str">
        <v>Item Code</v>
      </c>
      <c r="B39" t="str">
        <v>Item</v>
      </c>
      <c r="C39" t="str">
        <v>Unit</v>
      </c>
      <c r="D39" t="str" xml:space="preserve">
        <v xml:space="preserve">Tuesday_x000d__x000d_
14-Jul-26</v>
      </c>
      <c r="E39" t="str" xml:space="preserve">
        <v xml:space="preserve">Wednesday_x000d__x000d_
15-Jul-26</v>
      </c>
      <c r="F39" t="str" xml:space="preserve">
        <v xml:space="preserve">Thursday_x000d__x000d_
16-Jul-26</v>
      </c>
      <c r="G39" t="str" xml:space="preserve">
        <v xml:space="preserve">Friday_x000d__x000d_
17-Jul-26</v>
      </c>
      <c r="H39" t="str" xml:space="preserve">
        <v xml:space="preserve">Saturday_x000d__x000d_
18-Jul-26</v>
      </c>
      <c r="I39" t="str" xml:space="preserve">
        <v xml:space="preserve">Sunday_x000d__x000d_
19-Jul-26</v>
      </c>
      <c r="J39" t="str" xml:space="preserve">
        <v xml:space="preserve">Monday_x000d__x000d_
20-Jul-26</v>
      </c>
      <c r="K39">
        <v>16521</v>
      </c>
      <c r="L39" t="str">
        <v>DRINK MOUNTAIN DEW 600ML PET</v>
      </c>
      <c r="M39" t="str">
        <v>CARTON-24</v>
      </c>
      <c r="N39">
        <v>0.08</v>
      </c>
      <c r="O39">
        <v>0.25</v>
      </c>
      <c r="P39">
        <v>0.13</v>
      </c>
      <c r="Q39">
        <v>0.25</v>
      </c>
      <c r="R39">
        <v>0.17</v>
      </c>
      <c r="S39">
        <v>0.17</v>
      </c>
      <c r="T39">
        <v>0.17</v>
      </c>
    </row>
    <row r="40" xml:space="preserve">
      <c r="A40" t="str">
        <v>Item Code</v>
      </c>
      <c r="B40" t="str">
        <v>Item</v>
      </c>
      <c r="C40" t="str">
        <v>Unit</v>
      </c>
      <c r="D40" t="str" xml:space="preserve">
        <v xml:space="preserve">Tuesday_x000d__x000d_
14-Jul-26</v>
      </c>
      <c r="E40" t="str" xml:space="preserve">
        <v xml:space="preserve">Wednesday_x000d__x000d_
15-Jul-26</v>
      </c>
      <c r="F40" t="str" xml:space="preserve">
        <v xml:space="preserve">Thursday_x000d__x000d_
16-Jul-26</v>
      </c>
      <c r="G40" t="str" xml:space="preserve">
        <v xml:space="preserve">Friday_x000d__x000d_
17-Jul-26</v>
      </c>
      <c r="H40" t="str" xml:space="preserve">
        <v xml:space="preserve">Saturday_x000d__x000d_
18-Jul-26</v>
      </c>
      <c r="I40" t="str" xml:space="preserve">
        <v xml:space="preserve">Sunday_x000d__x000d_
19-Jul-26</v>
      </c>
      <c r="J40" t="str" xml:space="preserve">
        <v xml:space="preserve">Monday_x000d__x000d_
20-Jul-26</v>
      </c>
      <c r="K40">
        <v>14606</v>
      </c>
      <c r="L40" t="str">
        <v>DRINK MOUNTAIN DEW BIB 15L</v>
      </c>
      <c r="M40" t="str">
        <v>CARTON-15L</v>
      </c>
      <c r="N40">
        <v>0.04</v>
      </c>
      <c r="O40">
        <v>0.03</v>
      </c>
      <c r="P40">
        <v>0.05</v>
      </c>
      <c r="Q40">
        <v>0.09</v>
      </c>
      <c r="R40">
        <v>0.12</v>
      </c>
      <c r="S40">
        <v>0.06</v>
      </c>
      <c r="T40">
        <v>0.04</v>
      </c>
    </row>
    <row r="41" xml:space="preserve">
      <c r="A41" t="str">
        <v>Item Code</v>
      </c>
      <c r="B41" t="str">
        <v>Item</v>
      </c>
      <c r="C41" t="str">
        <v>Unit</v>
      </c>
      <c r="D41" t="str" xml:space="preserve">
        <v xml:space="preserve">Tuesday_x000d__x000d_
14-Jul-26</v>
      </c>
      <c r="E41" t="str" xml:space="preserve">
        <v xml:space="preserve">Wednesday_x000d__x000d_
15-Jul-26</v>
      </c>
      <c r="F41" t="str" xml:space="preserve">
        <v xml:space="preserve">Thursday_x000d__x000d_
16-Jul-26</v>
      </c>
      <c r="G41" t="str" xml:space="preserve">
        <v xml:space="preserve">Friday_x000d__x000d_
17-Jul-26</v>
      </c>
      <c r="H41" t="str" xml:space="preserve">
        <v xml:space="preserve">Saturday_x000d__x000d_
18-Jul-26</v>
      </c>
      <c r="I41" t="str" xml:space="preserve">
        <v xml:space="preserve">Sunday_x000d__x000d_
19-Jul-26</v>
      </c>
      <c r="J41" t="str" xml:space="preserve">
        <v xml:space="preserve">Monday_x000d__x000d_
20-Jul-26</v>
      </c>
      <c r="K41">
        <v>14603</v>
      </c>
      <c r="L41" t="str">
        <v>DRINK MOUNTAIN DEW CAN</v>
      </c>
      <c r="M41" t="str">
        <v>CARTON-30</v>
      </c>
      <c r="N41">
        <v>0.07</v>
      </c>
      <c r="O41">
        <v>0.23</v>
      </c>
      <c r="P41">
        <v>0.07</v>
      </c>
      <c r="Q41">
        <v>0.1</v>
      </c>
      <c r="R41">
        <v>0.2</v>
      </c>
      <c r="S41">
        <v>0.17</v>
      </c>
      <c r="T41">
        <v>0.17</v>
      </c>
    </row>
    <row r="42" xml:space="preserve">
      <c r="A42" t="str">
        <v>Item Code</v>
      </c>
      <c r="B42" t="str">
        <v>Item</v>
      </c>
      <c r="C42" t="str">
        <v>Unit</v>
      </c>
      <c r="D42" t="str" xml:space="preserve">
        <v xml:space="preserve">Tuesday_x000d__x000d_
14-Jul-26</v>
      </c>
      <c r="E42" t="str" xml:space="preserve">
        <v xml:space="preserve">Wednesday_x000d__x000d_
15-Jul-26</v>
      </c>
      <c r="F42" t="str" xml:space="preserve">
        <v xml:space="preserve">Thursday_x000d__x000d_
16-Jul-26</v>
      </c>
      <c r="G42" t="str" xml:space="preserve">
        <v xml:space="preserve">Friday_x000d__x000d_
17-Jul-26</v>
      </c>
      <c r="H42" t="str" xml:space="preserve">
        <v xml:space="preserve">Saturday_x000d__x000d_
18-Jul-26</v>
      </c>
      <c r="I42" t="str" xml:space="preserve">
        <v xml:space="preserve">Sunday_x000d__x000d_
19-Jul-26</v>
      </c>
      <c r="J42" t="str" xml:space="preserve">
        <v xml:space="preserve">Monday_x000d__x000d_
20-Jul-26</v>
      </c>
      <c r="K42">
        <v>14648</v>
      </c>
      <c r="L42" t="str">
        <v>DRINK PEPSI 600ML</v>
      </c>
      <c r="M42" t="str">
        <v>CARTON-24</v>
      </c>
      <c r="N42">
        <v>0.04</v>
      </c>
      <c r="O42">
        <v>0.04</v>
      </c>
      <c r="P42">
        <v>0.08</v>
      </c>
      <c r="Q42">
        <v>0.13</v>
      </c>
      <c r="R42">
        <v>0.08</v>
      </c>
      <c r="S42">
        <v>0.04</v>
      </c>
      <c r="T42">
        <v>0.04</v>
      </c>
    </row>
    <row r="43" xml:space="preserve">
      <c r="A43" t="str">
        <v>Item Code</v>
      </c>
      <c r="B43" t="str">
        <v>Item</v>
      </c>
      <c r="C43" t="str">
        <v>Unit</v>
      </c>
      <c r="D43" t="str" xml:space="preserve">
        <v xml:space="preserve">Tuesday_x000d__x000d_
14-Jul-26</v>
      </c>
      <c r="E43" t="str" xml:space="preserve">
        <v xml:space="preserve">Wednesday_x000d__x000d_
15-Jul-26</v>
      </c>
      <c r="F43" t="str" xml:space="preserve">
        <v xml:space="preserve">Thursday_x000d__x000d_
16-Jul-26</v>
      </c>
      <c r="G43" t="str" xml:space="preserve">
        <v xml:space="preserve">Friday_x000d__x000d_
17-Jul-26</v>
      </c>
      <c r="H43" t="str" xml:space="preserve">
        <v xml:space="preserve">Saturday_x000d__x000d_
18-Jul-26</v>
      </c>
      <c r="I43" t="str" xml:space="preserve">
        <v xml:space="preserve">Sunday_x000d__x000d_
19-Jul-26</v>
      </c>
      <c r="J43" t="str" xml:space="preserve">
        <v xml:space="preserve">Monday_x000d__x000d_
20-Jul-26</v>
      </c>
      <c r="K43">
        <v>12150</v>
      </c>
      <c r="L43" t="str">
        <v>DRINK PEPSI CAN</v>
      </c>
      <c r="M43" t="str">
        <v>CARTON-30</v>
      </c>
      <c r="N43">
        <v>0.1</v>
      </c>
      <c r="O43">
        <v>0.1</v>
      </c>
      <c r="P43">
        <v>0.13</v>
      </c>
      <c r="Q43">
        <v>0.13</v>
      </c>
      <c r="R43">
        <v>0.1</v>
      </c>
      <c r="S43">
        <v>0.03</v>
      </c>
      <c r="T43">
        <v>0.03</v>
      </c>
    </row>
    <row r="44" xml:space="preserve">
      <c r="A44" t="str">
        <v>Item Code</v>
      </c>
      <c r="B44" t="str">
        <v>Item</v>
      </c>
      <c r="C44" t="str">
        <v>Unit</v>
      </c>
      <c r="D44" t="str" xml:space="preserve">
        <v xml:space="preserve">Tuesday_x000d__x000d_
14-Jul-26</v>
      </c>
      <c r="E44" t="str" xml:space="preserve">
        <v xml:space="preserve">Wednesday_x000d__x000d_
15-Jul-26</v>
      </c>
      <c r="F44" t="str" xml:space="preserve">
        <v xml:space="preserve">Thursday_x000d__x000d_
16-Jul-26</v>
      </c>
      <c r="G44" t="str" xml:space="preserve">
        <v xml:space="preserve">Friday_x000d__x000d_
17-Jul-26</v>
      </c>
      <c r="H44" t="str" xml:space="preserve">
        <v xml:space="preserve">Saturday_x000d__x000d_
18-Jul-26</v>
      </c>
      <c r="I44" t="str" xml:space="preserve">
        <v xml:space="preserve">Sunday_x000d__x000d_
19-Jul-26</v>
      </c>
      <c r="J44" t="str" xml:space="preserve">
        <v xml:space="preserve">Monday_x000d__x000d_
20-Jul-26</v>
      </c>
      <c r="K44">
        <v>12128</v>
      </c>
      <c r="L44" t="str">
        <v>DRINK PEPSI MAX 600ML</v>
      </c>
      <c r="M44" t="str">
        <v>CARTON-24</v>
      </c>
      <c r="N44">
        <v>0.13</v>
      </c>
      <c r="O44">
        <v>0.38</v>
      </c>
      <c r="P44">
        <v>0.25</v>
      </c>
      <c r="Q44">
        <v>0.46</v>
      </c>
      <c r="R44">
        <v>0.38</v>
      </c>
      <c r="S44">
        <v>0.42</v>
      </c>
      <c r="T44">
        <v>0.38</v>
      </c>
    </row>
    <row r="45" xml:space="preserve">
      <c r="A45" t="str">
        <v>Item Code</v>
      </c>
      <c r="B45" t="str">
        <v>Item</v>
      </c>
      <c r="C45" t="str">
        <v>Unit</v>
      </c>
      <c r="D45" t="str" xml:space="preserve">
        <v xml:space="preserve">Tuesday_x000d__x000d_
14-Jul-26</v>
      </c>
      <c r="E45" t="str" xml:space="preserve">
        <v xml:space="preserve">Wednesday_x000d__x000d_
15-Jul-26</v>
      </c>
      <c r="F45" t="str" xml:space="preserve">
        <v xml:space="preserve">Thursday_x000d__x000d_
16-Jul-26</v>
      </c>
      <c r="G45" t="str" xml:space="preserve">
        <v xml:space="preserve">Friday_x000d__x000d_
17-Jul-26</v>
      </c>
      <c r="H45" t="str" xml:space="preserve">
        <v xml:space="preserve">Saturday_x000d__x000d_
18-Jul-26</v>
      </c>
      <c r="I45" t="str" xml:space="preserve">
        <v xml:space="preserve">Sunday_x000d__x000d_
19-Jul-26</v>
      </c>
      <c r="J45" t="str" xml:space="preserve">
        <v xml:space="preserve">Monday_x000d__x000d_
20-Jul-26</v>
      </c>
      <c r="K45">
        <v>16235</v>
      </c>
      <c r="L45" t="str">
        <v>DRINK PEPSI MAX BIB 10L</v>
      </c>
      <c r="M45" t="str">
        <v>CARTON-10L</v>
      </c>
      <c r="N45">
        <v>0.17</v>
      </c>
      <c r="O45">
        <v>0.18</v>
      </c>
      <c r="P45">
        <v>0.25</v>
      </c>
      <c r="Q45">
        <v>0.26</v>
      </c>
      <c r="R45">
        <v>0.37</v>
      </c>
      <c r="S45">
        <v>0.26</v>
      </c>
      <c r="T45">
        <v>0.11</v>
      </c>
    </row>
    <row r="46" xml:space="preserve">
      <c r="A46" t="str">
        <v>Item Code</v>
      </c>
      <c r="B46" t="str">
        <v>Item</v>
      </c>
      <c r="C46" t="str">
        <v>Unit</v>
      </c>
      <c r="D46" t="str" xml:space="preserve">
        <v xml:space="preserve">Tuesday_x000d__x000d_
14-Jul-26</v>
      </c>
      <c r="E46" t="str" xml:space="preserve">
        <v xml:space="preserve">Wednesday_x000d__x000d_
15-Jul-26</v>
      </c>
      <c r="F46" t="str" xml:space="preserve">
        <v xml:space="preserve">Thursday_x000d__x000d_
16-Jul-26</v>
      </c>
      <c r="G46" t="str" xml:space="preserve">
        <v xml:space="preserve">Friday_x000d__x000d_
17-Jul-26</v>
      </c>
      <c r="H46" t="str" xml:space="preserve">
        <v xml:space="preserve">Saturday_x000d__x000d_
18-Jul-26</v>
      </c>
      <c r="I46" t="str" xml:space="preserve">
        <v xml:space="preserve">Sunday_x000d__x000d_
19-Jul-26</v>
      </c>
      <c r="J46" t="str" xml:space="preserve">
        <v xml:space="preserve">Monday_x000d__x000d_
20-Jul-26</v>
      </c>
      <c r="K46">
        <v>14601</v>
      </c>
      <c r="L46" t="str">
        <v>DRINK PEPSI MAX CAN</v>
      </c>
      <c r="M46" t="str">
        <v>CARTON-30</v>
      </c>
      <c r="N46">
        <v>0.3</v>
      </c>
      <c r="O46">
        <v>0.17</v>
      </c>
      <c r="P46">
        <v>0.53</v>
      </c>
      <c r="Q46">
        <v>0.3</v>
      </c>
      <c r="R46">
        <v>0.27</v>
      </c>
      <c r="S46">
        <v>0.17</v>
      </c>
      <c r="T46">
        <v>0.13</v>
      </c>
    </row>
    <row r="47" xml:space="preserve">
      <c r="A47" t="str">
        <v>Item Code</v>
      </c>
      <c r="B47" t="str">
        <v>Item</v>
      </c>
      <c r="C47" t="str">
        <v>Unit</v>
      </c>
      <c r="D47" t="str" xml:space="preserve">
        <v xml:space="preserve">Tuesday_x000d__x000d_
14-Jul-26</v>
      </c>
      <c r="E47" t="str" xml:space="preserve">
        <v xml:space="preserve">Wednesday_x000d__x000d_
15-Jul-26</v>
      </c>
      <c r="F47" t="str" xml:space="preserve">
        <v xml:space="preserve">Thursday_x000d__x000d_
16-Jul-26</v>
      </c>
      <c r="G47" t="str" xml:space="preserve">
        <v xml:space="preserve">Friday_x000d__x000d_
17-Jul-26</v>
      </c>
      <c r="H47" t="str" xml:space="preserve">
        <v xml:space="preserve">Saturday_x000d__x000d_
18-Jul-26</v>
      </c>
      <c r="I47" t="str" xml:space="preserve">
        <v xml:space="preserve">Sunday_x000d__x000d_
19-Jul-26</v>
      </c>
      <c r="J47" t="str" xml:space="preserve">
        <v xml:space="preserve">Monday_x000d__x000d_
20-Jul-26</v>
      </c>
      <c r="K47">
        <v>12151</v>
      </c>
      <c r="L47" t="str">
        <v>DRINK PEPSI POST MIX</v>
      </c>
      <c r="M47" t="str">
        <v>CARTON-15L</v>
      </c>
      <c r="N47">
        <v>0.39</v>
      </c>
      <c r="O47">
        <v>0.46</v>
      </c>
      <c r="P47">
        <v>0.42</v>
      </c>
      <c r="Q47">
        <v>0.84</v>
      </c>
      <c r="R47">
        <v>0.72</v>
      </c>
      <c r="S47">
        <v>0.62</v>
      </c>
      <c r="T47">
        <v>0.39</v>
      </c>
    </row>
    <row r="48" xml:space="preserve">
      <c r="A48" t="str">
        <v>Item Code</v>
      </c>
      <c r="B48" t="str">
        <v>Item</v>
      </c>
      <c r="C48" t="str">
        <v>Unit</v>
      </c>
      <c r="D48" t="str" xml:space="preserve">
        <v xml:space="preserve">Tuesday_x000d__x000d_
14-Jul-26</v>
      </c>
      <c r="E48" t="str" xml:space="preserve">
        <v xml:space="preserve">Wednesday_x000d__x000d_
15-Jul-26</v>
      </c>
      <c r="F48" t="str" xml:space="preserve">
        <v xml:space="preserve">Thursday_x000d__x000d_
16-Jul-26</v>
      </c>
      <c r="G48" t="str" xml:space="preserve">
        <v xml:space="preserve">Friday_x000d__x000d_
17-Jul-26</v>
      </c>
      <c r="H48" t="str" xml:space="preserve">
        <v xml:space="preserve">Saturday_x000d__x000d_
18-Jul-26</v>
      </c>
      <c r="I48" t="str" xml:space="preserve">
        <v xml:space="preserve">Sunday_x000d__x000d_
19-Jul-26</v>
      </c>
      <c r="J48" t="str" xml:space="preserve">
        <v xml:space="preserve">Monday_x000d__x000d_
20-Jul-26</v>
      </c>
      <c r="K48">
        <v>100403</v>
      </c>
      <c r="L48" t="str">
        <v>DRINK RED BULL ED 250ML</v>
      </c>
      <c r="M48" t="str">
        <v>CARTON-24</v>
      </c>
      <c r="N48">
        <v>0.13</v>
      </c>
      <c r="O48">
        <v>0.04</v>
      </c>
      <c r="P48">
        <v>0.21</v>
      </c>
      <c r="Q48">
        <v>0</v>
      </c>
      <c r="R48">
        <v>0.04</v>
      </c>
      <c r="S48">
        <v>0</v>
      </c>
      <c r="T48">
        <v>0</v>
      </c>
    </row>
    <row r="49" xml:space="preserve">
      <c r="A49" t="str">
        <v>Item Code</v>
      </c>
      <c r="B49" t="str">
        <v>Item</v>
      </c>
      <c r="C49" t="str">
        <v>Unit</v>
      </c>
      <c r="D49" t="str" xml:space="preserve">
        <v xml:space="preserve">Tuesday_x000d__x000d_
14-Jul-26</v>
      </c>
      <c r="E49" t="str" xml:space="preserve">
        <v xml:space="preserve">Wednesday_x000d__x000d_
15-Jul-26</v>
      </c>
      <c r="F49" t="str" xml:space="preserve">
        <v xml:space="preserve">Thursday_x000d__x000d_
16-Jul-26</v>
      </c>
      <c r="G49" t="str" xml:space="preserve">
        <v xml:space="preserve">Friday_x000d__x000d_
17-Jul-26</v>
      </c>
      <c r="H49" t="str" xml:space="preserve">
        <v xml:space="preserve">Saturday_x000d__x000d_
18-Jul-26</v>
      </c>
      <c r="I49" t="str" xml:space="preserve">
        <v xml:space="preserve">Sunday_x000d__x000d_
19-Jul-26</v>
      </c>
      <c r="J49" t="str" xml:space="preserve">
        <v xml:space="preserve">Monday_x000d__x000d_
20-Jul-26</v>
      </c>
      <c r="K49">
        <v>100404</v>
      </c>
      <c r="L49" t="str">
        <v>DRINK RED BULL S/FREE 250ML</v>
      </c>
      <c r="M49" t="str">
        <v>CARTON-24</v>
      </c>
      <c r="N49">
        <v>0</v>
      </c>
      <c r="O49">
        <v>0</v>
      </c>
      <c r="P49">
        <v>0.04</v>
      </c>
      <c r="Q49">
        <v>0</v>
      </c>
      <c r="R49">
        <v>0</v>
      </c>
      <c r="S49">
        <v>0</v>
      </c>
      <c r="T49">
        <v>0</v>
      </c>
    </row>
    <row r="50" xml:space="preserve">
      <c r="A50" t="str">
        <v>Item Code</v>
      </c>
      <c r="B50" t="str">
        <v>Item</v>
      </c>
      <c r="C50" t="str">
        <v>Unit</v>
      </c>
      <c r="D50" t="str" xml:space="preserve">
        <v xml:space="preserve">Tuesday_x000d__x000d_
14-Jul-26</v>
      </c>
      <c r="E50" t="str" xml:space="preserve">
        <v xml:space="preserve">Wednesday_x000d__x000d_
15-Jul-26</v>
      </c>
      <c r="F50" t="str" xml:space="preserve">
        <v xml:space="preserve">Thursday_x000d__x000d_
16-Jul-26</v>
      </c>
      <c r="G50" t="str" xml:space="preserve">
        <v xml:space="preserve">Friday_x000d__x000d_
17-Jul-26</v>
      </c>
      <c r="H50" t="str" xml:space="preserve">
        <v xml:space="preserve">Saturday_x000d__x000d_
18-Jul-26</v>
      </c>
      <c r="I50" t="str" xml:space="preserve">
        <v xml:space="preserve">Sunday_x000d__x000d_
19-Jul-26</v>
      </c>
      <c r="J50" t="str" xml:space="preserve">
        <v xml:space="preserve">Monday_x000d__x000d_
20-Jul-26</v>
      </c>
      <c r="K50">
        <v>100405</v>
      </c>
      <c r="L50" t="str">
        <v>DRINK RED BULL TROPICAL 250ML</v>
      </c>
      <c r="M50" t="str">
        <v>CARTON-12</v>
      </c>
      <c r="N50">
        <v>0.25</v>
      </c>
      <c r="O50">
        <v>0</v>
      </c>
      <c r="P50">
        <v>0.08</v>
      </c>
      <c r="Q50">
        <v>0</v>
      </c>
      <c r="R50">
        <v>0.08</v>
      </c>
      <c r="S50">
        <v>0.17</v>
      </c>
      <c r="T50">
        <v>0.08</v>
      </c>
    </row>
    <row r="51" xml:space="preserve">
      <c r="A51" t="str">
        <v>Item Code</v>
      </c>
      <c r="B51" t="str">
        <v>Item</v>
      </c>
      <c r="C51" t="str">
        <v>Unit</v>
      </c>
      <c r="D51" t="str" xml:space="preserve">
        <v xml:space="preserve">Tuesday_x000d__x000d_
14-Jul-26</v>
      </c>
      <c r="E51" t="str" xml:space="preserve">
        <v xml:space="preserve">Wednesday_x000d__x000d_
15-Jul-26</v>
      </c>
      <c r="F51" t="str" xml:space="preserve">
        <v xml:space="preserve">Thursday_x000d__x000d_
16-Jul-26</v>
      </c>
      <c r="G51" t="str" xml:space="preserve">
        <v xml:space="preserve">Friday_x000d__x000d_
17-Jul-26</v>
      </c>
      <c r="H51" t="str" xml:space="preserve">
        <v xml:space="preserve">Saturday_x000d__x000d_
18-Jul-26</v>
      </c>
      <c r="I51" t="str" xml:space="preserve">
        <v xml:space="preserve">Sunday_x000d__x000d_
19-Jul-26</v>
      </c>
      <c r="J51" t="str" xml:space="preserve">
        <v xml:space="preserve">Monday_x000d__x000d_
20-Jul-26</v>
      </c>
      <c r="K51">
        <v>15735</v>
      </c>
      <c r="L51" t="str">
        <v>DRINK SOLO CAN</v>
      </c>
      <c r="M51" t="str">
        <v>CARTON-30</v>
      </c>
      <c r="N51">
        <v>0.03</v>
      </c>
      <c r="O51">
        <v>0.07</v>
      </c>
      <c r="P51">
        <v>0.07</v>
      </c>
      <c r="Q51">
        <v>0.07</v>
      </c>
      <c r="R51">
        <v>0.13</v>
      </c>
      <c r="S51">
        <v>0.03</v>
      </c>
      <c r="T51">
        <v>0.03</v>
      </c>
    </row>
    <row r="52" xml:space="preserve">
      <c r="A52" t="str">
        <v>Item Code</v>
      </c>
      <c r="B52" t="str">
        <v>Item</v>
      </c>
      <c r="C52" t="str">
        <v>Unit</v>
      </c>
      <c r="D52" t="str" xml:space="preserve">
        <v xml:space="preserve">Tuesday_x000d__x000d_
14-Jul-26</v>
      </c>
      <c r="E52" t="str" xml:space="preserve">
        <v xml:space="preserve">Wednesday_x000d__x000d_
15-Jul-26</v>
      </c>
      <c r="F52" t="str" xml:space="preserve">
        <v xml:space="preserve">Thursday_x000d__x000d_
16-Jul-26</v>
      </c>
      <c r="G52" t="str" xml:space="preserve">
        <v xml:space="preserve">Friday_x000d__x000d_
17-Jul-26</v>
      </c>
      <c r="H52" t="str" xml:space="preserve">
        <v xml:space="preserve">Saturday_x000d__x000d_
18-Jul-26</v>
      </c>
      <c r="I52" t="str" xml:space="preserve">
        <v xml:space="preserve">Sunday_x000d__x000d_
19-Jul-26</v>
      </c>
      <c r="J52" t="str" xml:space="preserve">
        <v xml:space="preserve">Monday_x000d__x000d_
20-Jul-26</v>
      </c>
      <c r="K52">
        <v>16522</v>
      </c>
      <c r="L52" t="str">
        <v>DRINK SOLO LEMON 600ML PET</v>
      </c>
      <c r="M52" t="str">
        <v>CARTON-24</v>
      </c>
      <c r="N52">
        <v>0.17</v>
      </c>
      <c r="O52">
        <v>0.21</v>
      </c>
      <c r="P52">
        <v>0.17</v>
      </c>
      <c r="Q52">
        <v>0.04</v>
      </c>
      <c r="R52">
        <v>0.17</v>
      </c>
      <c r="S52">
        <v>0.13</v>
      </c>
      <c r="T52">
        <v>0.17</v>
      </c>
    </row>
    <row r="53" xml:space="preserve">
      <c r="A53" t="str">
        <v>Item Code</v>
      </c>
      <c r="B53" t="str">
        <v>Item</v>
      </c>
      <c r="C53" t="str">
        <v>Unit</v>
      </c>
      <c r="D53" t="str" xml:space="preserve">
        <v xml:space="preserve">Tuesday_x000d__x000d_
14-Jul-26</v>
      </c>
      <c r="E53" t="str" xml:space="preserve">
        <v xml:space="preserve">Wednesday_x000d__x000d_
15-Jul-26</v>
      </c>
      <c r="F53" t="str" xml:space="preserve">
        <v xml:space="preserve">Thursday_x000d__x000d_
16-Jul-26</v>
      </c>
      <c r="G53" t="str" xml:space="preserve">
        <v xml:space="preserve">Friday_x000d__x000d_
17-Jul-26</v>
      </c>
      <c r="H53" t="str" xml:space="preserve">
        <v xml:space="preserve">Saturday_x000d__x000d_
18-Jul-26</v>
      </c>
      <c r="I53" t="str" xml:space="preserve">
        <v xml:space="preserve">Sunday_x000d__x000d_
19-Jul-26</v>
      </c>
      <c r="J53" t="str" xml:space="preserve">
        <v xml:space="preserve">Monday_x000d__x000d_
20-Jul-26</v>
      </c>
      <c r="K53">
        <v>16525</v>
      </c>
      <c r="L53" t="str">
        <v>DRINK SOLO LEMON BIB 15L</v>
      </c>
      <c r="M53" t="str">
        <v>CARTON-15L</v>
      </c>
      <c r="N53">
        <v>0.02</v>
      </c>
      <c r="O53">
        <v>0.05</v>
      </c>
      <c r="P53">
        <v>0.03</v>
      </c>
      <c r="Q53">
        <v>0.06</v>
      </c>
      <c r="R53">
        <v>0.01</v>
      </c>
      <c r="S53">
        <v>0.05</v>
      </c>
      <c r="T53">
        <v>0.03</v>
      </c>
    </row>
    <row r="54" xml:space="preserve">
      <c r="A54" t="str">
        <v>Item Code</v>
      </c>
      <c r="B54" t="str">
        <v>Item</v>
      </c>
      <c r="C54" t="str">
        <v>Unit</v>
      </c>
      <c r="D54" t="str" xml:space="preserve">
        <v xml:space="preserve">Tuesday_x000d__x000d_
14-Jul-26</v>
      </c>
      <c r="E54" t="str" xml:space="preserve">
        <v xml:space="preserve">Wednesday_x000d__x000d_
15-Jul-26</v>
      </c>
      <c r="F54" t="str" xml:space="preserve">
        <v xml:space="preserve">Thursday_x000d__x000d_
16-Jul-26</v>
      </c>
      <c r="G54" t="str" xml:space="preserve">
        <v xml:space="preserve">Friday_x000d__x000d_
17-Jul-26</v>
      </c>
      <c r="H54" t="str" xml:space="preserve">
        <v xml:space="preserve">Saturday_x000d__x000d_
18-Jul-26</v>
      </c>
      <c r="I54" t="str" xml:space="preserve">
        <v xml:space="preserve">Sunday_x000d__x000d_
19-Jul-26</v>
      </c>
      <c r="J54" t="str" xml:space="preserve">
        <v xml:space="preserve">Monday_x000d__x000d_
20-Jul-26</v>
      </c>
      <c r="K54">
        <v>16523</v>
      </c>
      <c r="L54" t="str">
        <v>DRINK SUNKIST ORANGE 600ML</v>
      </c>
      <c r="M54" t="str">
        <v>CARTON-24</v>
      </c>
      <c r="N54">
        <v>0.08</v>
      </c>
      <c r="O54">
        <v>0.08</v>
      </c>
      <c r="P54">
        <v>0.04</v>
      </c>
      <c r="Q54">
        <v>0</v>
      </c>
      <c r="R54">
        <v>0.17</v>
      </c>
      <c r="S54">
        <v>0</v>
      </c>
      <c r="T54">
        <v>0.13</v>
      </c>
    </row>
    <row r="55" xml:space="preserve">
      <c r="A55" t="str">
        <v>Item Code</v>
      </c>
      <c r="B55" t="str">
        <v>Item</v>
      </c>
      <c r="C55" t="str">
        <v>Unit</v>
      </c>
      <c r="D55" t="str" xml:space="preserve">
        <v xml:space="preserve">Tuesday_x000d__x000d_
14-Jul-26</v>
      </c>
      <c r="E55" t="str" xml:space="preserve">
        <v xml:space="preserve">Wednesday_x000d__x000d_
15-Jul-26</v>
      </c>
      <c r="F55" t="str" xml:space="preserve">
        <v xml:space="preserve">Thursday_x000d__x000d_
16-Jul-26</v>
      </c>
      <c r="G55" t="str" xml:space="preserve">
        <v xml:space="preserve">Friday_x000d__x000d_
17-Jul-26</v>
      </c>
      <c r="H55" t="str" xml:space="preserve">
        <v xml:space="preserve">Saturday_x000d__x000d_
18-Jul-26</v>
      </c>
      <c r="I55" t="str" xml:space="preserve">
        <v xml:space="preserve">Sunday_x000d__x000d_
19-Jul-26</v>
      </c>
      <c r="J55" t="str" xml:space="preserve">
        <v xml:space="preserve">Monday_x000d__x000d_
20-Jul-26</v>
      </c>
      <c r="K55">
        <v>16524</v>
      </c>
      <c r="L55" t="str">
        <v>DRINK SUNKIST ORANGE BIB 15L</v>
      </c>
      <c r="M55" t="str">
        <v>CARTON-15L</v>
      </c>
      <c r="N55">
        <v>0.02</v>
      </c>
      <c r="O55">
        <v>0.02</v>
      </c>
      <c r="P55">
        <v>0.02</v>
      </c>
      <c r="Q55">
        <v>0.05</v>
      </c>
      <c r="R55">
        <v>0.03</v>
      </c>
      <c r="S55">
        <v>0.04</v>
      </c>
      <c r="T55">
        <v>0.01</v>
      </c>
    </row>
    <row r="56" xml:space="preserve">
      <c r="A56" t="str">
        <v>Item Code</v>
      </c>
      <c r="B56" t="str">
        <v>Item</v>
      </c>
      <c r="C56" t="str">
        <v>Unit</v>
      </c>
      <c r="D56" t="str" xml:space="preserve">
        <v xml:space="preserve">Tuesday_x000d__x000d_
14-Jul-26</v>
      </c>
      <c r="E56" t="str" xml:space="preserve">
        <v xml:space="preserve">Wednesday_x000d__x000d_
15-Jul-26</v>
      </c>
      <c r="F56" t="str" xml:space="preserve">
        <v xml:space="preserve">Thursday_x000d__x000d_
16-Jul-26</v>
      </c>
      <c r="G56" t="str" xml:space="preserve">
        <v xml:space="preserve">Friday_x000d__x000d_
17-Jul-26</v>
      </c>
      <c r="H56" t="str" xml:space="preserve">
        <v xml:space="preserve">Saturday_x000d__x000d_
18-Jul-26</v>
      </c>
      <c r="I56" t="str" xml:space="preserve">
        <v xml:space="preserve">Sunday_x000d__x000d_
19-Jul-26</v>
      </c>
      <c r="J56" t="str" xml:space="preserve">
        <v xml:space="preserve">Monday_x000d__x000d_
20-Jul-26</v>
      </c>
      <c r="K56">
        <v>15733</v>
      </c>
      <c r="L56" t="str">
        <v>DRINK SUNKIST ORANGE CAN</v>
      </c>
      <c r="M56" t="str">
        <v>CARTON-24</v>
      </c>
      <c r="N56">
        <v>0</v>
      </c>
      <c r="O56">
        <v>0</v>
      </c>
      <c r="P56">
        <v>0.17</v>
      </c>
      <c r="Q56">
        <v>0</v>
      </c>
      <c r="R56">
        <v>0.13</v>
      </c>
      <c r="S56">
        <v>0.13</v>
      </c>
      <c r="T56">
        <v>0</v>
      </c>
    </row>
    <row r="57" xml:space="preserve">
      <c r="A57" t="str">
        <v>Item Code</v>
      </c>
      <c r="B57" t="str">
        <v>Item</v>
      </c>
      <c r="C57" t="str">
        <v>Unit</v>
      </c>
      <c r="D57" t="str" xml:space="preserve">
        <v xml:space="preserve">Tuesday_x000d__x000d_
14-Jul-26</v>
      </c>
      <c r="E57" t="str" xml:space="preserve">
        <v xml:space="preserve">Wednesday_x000d__x000d_
15-Jul-26</v>
      </c>
      <c r="F57" t="str" xml:space="preserve">
        <v xml:space="preserve">Thursday_x000d__x000d_
16-Jul-26</v>
      </c>
      <c r="G57" t="str" xml:space="preserve">
        <v xml:space="preserve">Friday_x000d__x000d_
17-Jul-26</v>
      </c>
      <c r="H57" t="str" xml:space="preserve">
        <v xml:space="preserve">Saturday_x000d__x000d_
18-Jul-26</v>
      </c>
      <c r="I57" t="str" xml:space="preserve">
        <v xml:space="preserve">Sunday_x000d__x000d_
19-Jul-26</v>
      </c>
      <c r="J57" t="str" xml:space="preserve">
        <v xml:space="preserve">Monday_x000d__x000d_
20-Jul-26</v>
      </c>
      <c r="K57">
        <v>13839</v>
      </c>
      <c r="L57" t="str">
        <v>DRINK WATER 600ML PET</v>
      </c>
      <c r="M57" t="str">
        <v>CARTON-24</v>
      </c>
      <c r="N57">
        <v>0.21</v>
      </c>
      <c r="O57">
        <v>0.08</v>
      </c>
      <c r="P57">
        <v>0.25</v>
      </c>
      <c r="Q57">
        <v>0.46</v>
      </c>
      <c r="R57">
        <v>0.5</v>
      </c>
      <c r="S57">
        <v>0.17</v>
      </c>
      <c r="T57">
        <v>0.21</v>
      </c>
    </row>
    <row r="58" xml:space="preserve">
      <c r="A58" t="str">
        <v>Item Code</v>
      </c>
      <c r="B58" t="str">
        <v>Item</v>
      </c>
      <c r="C58" t="str">
        <v>Unit</v>
      </c>
      <c r="D58" t="str" xml:space="preserve">
        <v xml:space="preserve">Tuesday_x000d__x000d_
14-Jul-26</v>
      </c>
      <c r="E58" t="str" xml:space="preserve">
        <v xml:space="preserve">Wednesday_x000d__x000d_
15-Jul-26</v>
      </c>
      <c r="F58" t="str" xml:space="preserve">
        <v xml:space="preserve">Thursday_x000d__x000d_
16-Jul-26</v>
      </c>
      <c r="G58" t="str" xml:space="preserve">
        <v xml:space="preserve">Friday_x000d__x000d_
17-Jul-26</v>
      </c>
      <c r="H58" t="str" xml:space="preserve">
        <v xml:space="preserve">Saturday_x000d__x000d_
18-Jul-26</v>
      </c>
      <c r="I58" t="str" xml:space="preserve">
        <v xml:space="preserve">Sunday_x000d__x000d_
19-Jul-26</v>
      </c>
      <c r="J58" t="str" xml:space="preserve">
        <v xml:space="preserve">Monday_x000d__x000d_
20-Jul-26</v>
      </c>
      <c r="K58">
        <v>100402</v>
      </c>
      <c r="L58" t="str">
        <v>DRINK WATER SPARKLING 500ML</v>
      </c>
      <c r="M58" t="str">
        <v>CARTON-24</v>
      </c>
      <c r="N58">
        <v>0.04</v>
      </c>
      <c r="O58">
        <v>0</v>
      </c>
      <c r="P58">
        <v>0</v>
      </c>
      <c r="Q58">
        <v>0</v>
      </c>
      <c r="R58">
        <v>0.17</v>
      </c>
      <c r="S58">
        <v>0.08</v>
      </c>
      <c r="T58">
        <v>0</v>
      </c>
    </row>
    <row r="59" xml:space="preserve">
      <c r="A59" t="str">
        <v>Item Code</v>
      </c>
      <c r="B59" t="str">
        <v>Item</v>
      </c>
      <c r="C59" t="str">
        <v>Unit</v>
      </c>
      <c r="D59" t="str" xml:space="preserve">
        <v xml:space="preserve">Tuesday_x000d__x000d_
14-Jul-26</v>
      </c>
      <c r="E59" t="str" xml:space="preserve">
        <v xml:space="preserve">Wednesday_x000d__x000d_
15-Jul-26</v>
      </c>
      <c r="F59" t="str" xml:space="preserve">
        <v xml:space="preserve">Thursday_x000d__x000d_
16-Jul-26</v>
      </c>
      <c r="G59" t="str" xml:space="preserve">
        <v xml:space="preserve">Friday_x000d__x000d_
17-Jul-26</v>
      </c>
      <c r="H59" t="str" xml:space="preserve">
        <v xml:space="preserve">Saturday_x000d__x000d_
18-Jul-26</v>
      </c>
      <c r="I59" t="str" xml:space="preserve">
        <v xml:space="preserve">Sunday_x000d__x000d_
19-Jul-26</v>
      </c>
      <c r="J59" t="str" xml:space="preserve">
        <v xml:space="preserve">Monday_x000d__x000d_
20-Jul-26</v>
      </c>
      <c r="K59">
        <v>37895</v>
      </c>
      <c r="L59" t="str">
        <v>FLATBREAD</v>
      </c>
      <c r="M59" t="str">
        <v>CARTON-24X6</v>
      </c>
      <c r="N59">
        <v>0.4</v>
      </c>
      <c r="O59">
        <v>0.48</v>
      </c>
      <c r="P59">
        <v>0.51</v>
      </c>
      <c r="Q59">
        <v>0.88</v>
      </c>
      <c r="R59">
        <v>0.75</v>
      </c>
      <c r="S59">
        <v>0.72</v>
      </c>
      <c r="T59">
        <v>0.36</v>
      </c>
    </row>
    <row r="60" xml:space="preserve">
      <c r="A60" t="str">
        <v>Item Code</v>
      </c>
      <c r="B60" t="str">
        <v>Item</v>
      </c>
      <c r="C60" t="str">
        <v>Unit</v>
      </c>
      <c r="D60" t="str" xml:space="preserve">
        <v xml:space="preserve">Tuesday_x000d__x000d_
14-Jul-26</v>
      </c>
      <c r="E60" t="str" xml:space="preserve">
        <v xml:space="preserve">Wednesday_x000d__x000d_
15-Jul-26</v>
      </c>
      <c r="F60" t="str" xml:space="preserve">
        <v xml:space="preserve">Thursday_x000d__x000d_
16-Jul-26</v>
      </c>
      <c r="G60" t="str" xml:space="preserve">
        <v xml:space="preserve">Friday_x000d__x000d_
17-Jul-26</v>
      </c>
      <c r="H60" t="str" xml:space="preserve">
        <v xml:space="preserve">Saturday_x000d__x000d_
18-Jul-26</v>
      </c>
      <c r="I60" t="str" xml:space="preserve">
        <v xml:space="preserve">Sunday_x000d__x000d_
19-Jul-26</v>
      </c>
      <c r="J60" t="str" xml:space="preserve">
        <v xml:space="preserve">Monday_x000d__x000d_
20-Jul-26</v>
      </c>
      <c r="K60">
        <v>15049</v>
      </c>
      <c r="L60" t="str">
        <v>FRIES SURECRISP</v>
      </c>
      <c r="M60" t="str">
        <v>CARTON-6x2KG</v>
      </c>
      <c r="N60">
        <v>3.65</v>
      </c>
      <c r="O60">
        <v>3.98</v>
      </c>
      <c r="P60">
        <v>4.46</v>
      </c>
      <c r="Q60">
        <v>6.41</v>
      </c>
      <c r="R60">
        <v>5.96</v>
      </c>
      <c r="S60">
        <v>5.47</v>
      </c>
      <c r="T60">
        <v>2.95</v>
      </c>
    </row>
    <row r="61" xml:space="preserve">
      <c r="A61" t="str">
        <v>Item Code</v>
      </c>
      <c r="B61" t="str">
        <v>Item</v>
      </c>
      <c r="C61" t="str">
        <v>Unit</v>
      </c>
      <c r="D61" t="str" xml:space="preserve">
        <v xml:space="preserve">Tuesday_x000d__x000d_
14-Jul-26</v>
      </c>
      <c r="E61" t="str" xml:space="preserve">
        <v xml:space="preserve">Wednesday_x000d__x000d_
15-Jul-26</v>
      </c>
      <c r="F61" t="str" xml:space="preserve">
        <v xml:space="preserve">Thursday_x000d__x000d_
16-Jul-26</v>
      </c>
      <c r="G61" t="str" xml:space="preserve">
        <v xml:space="preserve">Friday_x000d__x000d_
17-Jul-26</v>
      </c>
      <c r="H61" t="str" xml:space="preserve">
        <v xml:space="preserve">Saturday_x000d__x000d_
18-Jul-26</v>
      </c>
      <c r="I61" t="str" xml:space="preserve">
        <v xml:space="preserve">Sunday_x000d__x000d_
19-Jul-26</v>
      </c>
      <c r="J61" t="str" xml:space="preserve">
        <v xml:space="preserve">Monday_x000d__x000d_
20-Jul-26</v>
      </c>
      <c r="K61">
        <v>14791</v>
      </c>
      <c r="L61" t="str">
        <v>GUACAMOLE</v>
      </c>
      <c r="M61" t="str">
        <v>CARTON-6x1.5KG</v>
      </c>
      <c r="N61">
        <v>0.24</v>
      </c>
      <c r="O61">
        <v>0.19</v>
      </c>
      <c r="P61">
        <v>0.2</v>
      </c>
      <c r="Q61">
        <v>0.32</v>
      </c>
      <c r="R61">
        <v>0.29</v>
      </c>
      <c r="S61">
        <v>0.22</v>
      </c>
      <c r="T61">
        <v>0.15</v>
      </c>
    </row>
    <row r="62" xml:space="preserve">
      <c r="A62" t="str">
        <v>Item Code</v>
      </c>
      <c r="B62" t="str">
        <v>Item</v>
      </c>
      <c r="C62" t="str">
        <v>Unit</v>
      </c>
      <c r="D62" t="str" xml:space="preserve">
        <v xml:space="preserve">Tuesday_x000d__x000d_
14-Jul-26</v>
      </c>
      <c r="E62" t="str" xml:space="preserve">
        <v xml:space="preserve">Wednesday_x000d__x000d_
15-Jul-26</v>
      </c>
      <c r="F62" t="str" xml:space="preserve">
        <v xml:space="preserve">Thursday_x000d__x000d_
16-Jul-26</v>
      </c>
      <c r="G62" t="str" xml:space="preserve">
        <v xml:space="preserve">Friday_x000d__x000d_
17-Jul-26</v>
      </c>
      <c r="H62" t="str" xml:space="preserve">
        <v xml:space="preserve">Saturday_x000d__x000d_
18-Jul-26</v>
      </c>
      <c r="I62" t="str" xml:space="preserve">
        <v xml:space="preserve">Sunday_x000d__x000d_
19-Jul-26</v>
      </c>
      <c r="J62" t="str" xml:space="preserve">
        <v xml:space="preserve">Monday_x000d__x000d_
20-Jul-26</v>
      </c>
      <c r="K62">
        <v>20295</v>
      </c>
      <c r="L62" t="str">
        <v>JALAPENO</v>
      </c>
      <c r="M62" t="str">
        <v>CARTON-6x2.3KG</v>
      </c>
      <c r="N62">
        <v>0.01</v>
      </c>
      <c r="O62">
        <v>0.01</v>
      </c>
      <c r="P62">
        <v>0.01</v>
      </c>
      <c r="Q62">
        <v>0.01</v>
      </c>
      <c r="R62">
        <v>0.01</v>
      </c>
      <c r="S62">
        <v>0</v>
      </c>
      <c r="T62">
        <v>0</v>
      </c>
    </row>
    <row r="63" xml:space="preserve">
      <c r="A63" t="str">
        <v>Item Code</v>
      </c>
      <c r="B63" t="str">
        <v>Item</v>
      </c>
      <c r="C63" t="str">
        <v>Unit</v>
      </c>
      <c r="D63" t="str" xml:space="preserve">
        <v xml:space="preserve">Tuesday_x000d__x000d_
14-Jul-26</v>
      </c>
      <c r="E63" t="str" xml:space="preserve">
        <v xml:space="preserve">Wednesday_x000d__x000d_
15-Jul-26</v>
      </c>
      <c r="F63" t="str" xml:space="preserve">
        <v xml:space="preserve">Thursday_x000d__x000d_
16-Jul-26</v>
      </c>
      <c r="G63" t="str" xml:space="preserve">
        <v xml:space="preserve">Friday_x000d__x000d_
17-Jul-26</v>
      </c>
      <c r="H63" t="str" xml:space="preserve">
        <v xml:space="preserve">Saturday_x000d__x000d_
18-Jul-26</v>
      </c>
      <c r="I63" t="str" xml:space="preserve">
        <v xml:space="preserve">Sunday_x000d__x000d_
19-Jul-26</v>
      </c>
      <c r="J63" t="str" xml:space="preserve">
        <v xml:space="preserve">Monday_x000d__x000d_
20-Jul-26</v>
      </c>
      <c r="K63">
        <v>39391</v>
      </c>
      <c r="L63" t="str">
        <v>LABELS DELIVERY TB TAMPER PROOF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xml:space="preserve">
      <c r="A64" t="str">
        <v>Item Code</v>
      </c>
      <c r="B64" t="str">
        <v>Item</v>
      </c>
      <c r="C64" t="str">
        <v>Unit</v>
      </c>
      <c r="D64" t="str" xml:space="preserve">
        <v xml:space="preserve">Tuesday_x000d__x000d_
14-Jul-26</v>
      </c>
      <c r="E64" t="str" xml:space="preserve">
        <v xml:space="preserve">Wednesday_x000d__x000d_
15-Jul-26</v>
      </c>
      <c r="F64" t="str" xml:space="preserve">
        <v xml:space="preserve">Thursday_x000d__x000d_
16-Jul-26</v>
      </c>
      <c r="G64" t="str" xml:space="preserve">
        <v xml:space="preserve">Friday_x000d__x000d_
17-Jul-26</v>
      </c>
      <c r="H64" t="str" xml:space="preserve">
        <v xml:space="preserve">Saturday_x000d__x000d_
18-Jul-26</v>
      </c>
      <c r="I64" t="str" xml:space="preserve">
        <v xml:space="preserve">Sunday_x000d__x000d_
19-Jul-26</v>
      </c>
      <c r="J64" t="str" xml:space="preserve">
        <v xml:space="preserve">Monday_x000d__x000d_
20-Jul-26</v>
      </c>
      <c r="K64">
        <v>38701</v>
      </c>
      <c r="L64" t="str">
        <v>LAVA SAUCE</v>
      </c>
      <c r="M64" t="str">
        <v>CARTON-10x1KG</v>
      </c>
      <c r="N64">
        <v>0.16</v>
      </c>
      <c r="O64">
        <v>0.13</v>
      </c>
      <c r="P64">
        <v>0.16</v>
      </c>
      <c r="Q64">
        <v>0.23</v>
      </c>
      <c r="R64">
        <v>0.16</v>
      </c>
      <c r="S64">
        <v>0.17</v>
      </c>
      <c r="T64">
        <v>0.12</v>
      </c>
    </row>
    <row r="65" xml:space="preserve">
      <c r="A65" t="str">
        <v>Item Code</v>
      </c>
      <c r="B65" t="str">
        <v>Item</v>
      </c>
      <c r="C65" t="str">
        <v>Unit</v>
      </c>
      <c r="D65" t="str" xml:space="preserve">
        <v xml:space="preserve">Tuesday_x000d__x000d_
14-Jul-26</v>
      </c>
      <c r="E65" t="str" xml:space="preserve">
        <v xml:space="preserve">Wednesday_x000d__x000d_
15-Jul-26</v>
      </c>
      <c r="F65" t="str" xml:space="preserve">
        <v xml:space="preserve">Thursday_x000d__x000d_
16-Jul-26</v>
      </c>
      <c r="G65" t="str" xml:space="preserve">
        <v xml:space="preserve">Friday_x000d__x000d_
17-Jul-26</v>
      </c>
      <c r="H65" t="str" xml:space="preserve">
        <v xml:space="preserve">Saturday_x000d__x000d_
18-Jul-26</v>
      </c>
      <c r="I65" t="str" xml:space="preserve">
        <v xml:space="preserve">Sunday_x000d__x000d_
19-Jul-26</v>
      </c>
      <c r="J65" t="str" xml:space="preserve">
        <v xml:space="preserve">Monday_x000d__x000d_
20-Jul-26</v>
      </c>
      <c r="K65">
        <v>13016</v>
      </c>
      <c r="L65" t="str">
        <v>LETTUCE SHREDDED</v>
      </c>
      <c r="M65" t="str">
        <v>CARTON-4X2.5KG</v>
      </c>
      <c r="N65">
        <v>0.63</v>
      </c>
      <c r="O65">
        <v>0.85</v>
      </c>
      <c r="P65">
        <v>0.81</v>
      </c>
      <c r="Q65">
        <v>1.09</v>
      </c>
      <c r="R65">
        <v>1.17</v>
      </c>
      <c r="S65">
        <v>1.07</v>
      </c>
      <c r="T65">
        <v>0.65</v>
      </c>
    </row>
    <row r="66" xml:space="preserve">
      <c r="A66" t="str">
        <v>Item Code</v>
      </c>
      <c r="B66" t="str">
        <v>Item</v>
      </c>
      <c r="C66" t="str">
        <v>Unit</v>
      </c>
      <c r="D66" t="str" xml:space="preserve">
        <v xml:space="preserve">Tuesday_x000d__x000d_
14-Jul-26</v>
      </c>
      <c r="E66" t="str" xml:space="preserve">
        <v xml:space="preserve">Wednesday_x000d__x000d_
15-Jul-26</v>
      </c>
      <c r="F66" t="str" xml:space="preserve">
        <v xml:space="preserve">Thursday_x000d__x000d_
16-Jul-26</v>
      </c>
      <c r="G66" t="str" xml:space="preserve">
        <v xml:space="preserve">Friday_x000d__x000d_
17-Jul-26</v>
      </c>
      <c r="H66" t="str" xml:space="preserve">
        <v xml:space="preserve">Saturday_x000d__x000d_
18-Jul-26</v>
      </c>
      <c r="I66" t="str" xml:space="preserve">
        <v xml:space="preserve">Sunday_x000d__x000d_
19-Jul-26</v>
      </c>
      <c r="J66" t="str" xml:space="preserve">
        <v xml:space="preserve">Monday_x000d__x000d_
20-Jul-26</v>
      </c>
      <c r="K66">
        <v>39746</v>
      </c>
      <c r="L66" t="str">
        <v>LID CLEAR 60ML DIPPING CUP</v>
      </c>
      <c r="M66" t="str">
        <v>CARTON-1000</v>
      </c>
      <c r="N66">
        <v>0.12</v>
      </c>
      <c r="O66">
        <v>0.18</v>
      </c>
      <c r="P66">
        <v>0.14</v>
      </c>
      <c r="Q66">
        <v>0.21</v>
      </c>
      <c r="R66">
        <v>0.2</v>
      </c>
      <c r="S66">
        <v>0.19</v>
      </c>
      <c r="T66">
        <v>0.09</v>
      </c>
    </row>
    <row r="67" xml:space="preserve">
      <c r="A67" t="str">
        <v>Item Code</v>
      </c>
      <c r="B67" t="str">
        <v>Item</v>
      </c>
      <c r="C67" t="str">
        <v>Unit</v>
      </c>
      <c r="D67" t="str" xml:space="preserve">
        <v xml:space="preserve">Tuesday_x000d__x000d_
14-Jul-26</v>
      </c>
      <c r="E67" t="str" xml:space="preserve">
        <v xml:space="preserve">Wednesday_x000d__x000d_
15-Jul-26</v>
      </c>
      <c r="F67" t="str" xml:space="preserve">
        <v xml:space="preserve">Thursday_x000d__x000d_
16-Jul-26</v>
      </c>
      <c r="G67" t="str" xml:space="preserve">
        <v xml:space="preserve">Friday_x000d__x000d_
17-Jul-26</v>
      </c>
      <c r="H67" t="str" xml:space="preserve">
        <v xml:space="preserve">Saturday_x000d__x000d_
18-Jul-26</v>
      </c>
      <c r="I67" t="str" xml:space="preserve">
        <v xml:space="preserve">Sunday_x000d__x000d_
19-Jul-26</v>
      </c>
      <c r="J67" t="str" xml:space="preserve">
        <v xml:space="preserve">Monday_x000d__x000d_
20-Jul-26</v>
      </c>
      <c r="K67">
        <v>37380</v>
      </c>
      <c r="L67" t="str">
        <v>LID FCB DOME 590 ML CH</v>
      </c>
      <c r="M67" t="str">
        <v>CARTON-1000</v>
      </c>
      <c r="N67">
        <v>0.01</v>
      </c>
      <c r="O67">
        <v>0.01</v>
      </c>
      <c r="P67">
        <v>0.01</v>
      </c>
      <c r="Q67">
        <v>0.02</v>
      </c>
      <c r="R67">
        <v>0.01</v>
      </c>
      <c r="S67">
        <v>0.01</v>
      </c>
      <c r="T67">
        <v>0.01</v>
      </c>
    </row>
    <row r="68" xml:space="preserve">
      <c r="A68" t="str">
        <v>Item Code</v>
      </c>
      <c r="B68" t="str">
        <v>Item</v>
      </c>
      <c r="C68" t="str">
        <v>Unit</v>
      </c>
      <c r="D68" t="str" xml:space="preserve">
        <v xml:space="preserve">Tuesday_x000d__x000d_
14-Jul-26</v>
      </c>
      <c r="E68" t="str" xml:space="preserve">
        <v xml:space="preserve">Wednesday_x000d__x000d_
15-Jul-26</v>
      </c>
      <c r="F68" t="str" xml:space="preserve">
        <v xml:space="preserve">Thursday_x000d__x000d_
16-Jul-26</v>
      </c>
      <c r="G68" t="str" xml:space="preserve">
        <v xml:space="preserve">Friday_x000d__x000d_
17-Jul-26</v>
      </c>
      <c r="H68" t="str" xml:space="preserve">
        <v xml:space="preserve">Saturday_x000d__x000d_
18-Jul-26</v>
      </c>
      <c r="I68" t="str" xml:space="preserve">
        <v xml:space="preserve">Sunday_x000d__x000d_
19-Jul-26</v>
      </c>
      <c r="J68" t="str" xml:space="preserve">
        <v xml:space="preserve">Monday_x000d__x000d_
20-Jul-26</v>
      </c>
      <c r="K68">
        <v>13735</v>
      </c>
      <c r="L68" t="str">
        <v>LID POSTMIX</v>
      </c>
      <c r="M68" t="str">
        <v>CARTON-1000</v>
      </c>
      <c r="N68">
        <v>0.13</v>
      </c>
      <c r="O68">
        <v>0.15</v>
      </c>
      <c r="P68">
        <v>0.15</v>
      </c>
      <c r="Q68">
        <v>0.26</v>
      </c>
      <c r="R68">
        <v>0.24</v>
      </c>
      <c r="S68">
        <v>0.2</v>
      </c>
      <c r="T68">
        <v>0.12</v>
      </c>
    </row>
    <row r="69" xml:space="preserve">
      <c r="A69" t="str">
        <v>Item Code</v>
      </c>
      <c r="B69" t="str">
        <v>Item</v>
      </c>
      <c r="C69" t="str">
        <v>Unit</v>
      </c>
      <c r="D69" t="str" xml:space="preserve">
        <v xml:space="preserve">Tuesday_x000d__x000d_
14-Jul-26</v>
      </c>
      <c r="E69" t="str" xml:space="preserve">
        <v xml:space="preserve">Wednesday_x000d__x000d_
15-Jul-26</v>
      </c>
      <c r="F69" t="str" xml:space="preserve">
        <v xml:space="preserve">Thursday_x000d__x000d_
16-Jul-26</v>
      </c>
      <c r="G69" t="str" xml:space="preserve">
        <v xml:space="preserve">Friday_x000d__x000d_
17-Jul-26</v>
      </c>
      <c r="H69" t="str" xml:space="preserve">
        <v xml:space="preserve">Saturday_x000d__x000d_
18-Jul-26</v>
      </c>
      <c r="I69" t="str" xml:space="preserve">
        <v xml:space="preserve">Sunday_x000d__x000d_
19-Jul-26</v>
      </c>
      <c r="J69" t="str" xml:space="preserve">
        <v xml:space="preserve">Monday_x000d__x000d_
20-Jul-26</v>
      </c>
      <c r="K69">
        <v>39520</v>
      </c>
      <c r="L69" t="str">
        <v>MEAT BEEF COOKED</v>
      </c>
      <c r="M69" t="str">
        <v>CARTON-8x1.85KG</v>
      </c>
      <c r="N69">
        <v>1.23</v>
      </c>
      <c r="O69">
        <v>1.46</v>
      </c>
      <c r="P69">
        <v>1.41</v>
      </c>
      <c r="Q69">
        <v>1.96</v>
      </c>
      <c r="R69">
        <v>2.17</v>
      </c>
      <c r="S69">
        <v>1.75</v>
      </c>
      <c r="T69">
        <v>1.14</v>
      </c>
    </row>
    <row r="70" xml:space="preserve">
      <c r="A70" t="str">
        <v>Item Code</v>
      </c>
      <c r="B70" t="str">
        <v>Item</v>
      </c>
      <c r="C70" t="str">
        <v>Unit</v>
      </c>
      <c r="D70" t="str" xml:space="preserve">
        <v xml:space="preserve">Tuesday_x000d__x000d_
14-Jul-26</v>
      </c>
      <c r="E70" t="str" xml:space="preserve">
        <v xml:space="preserve">Wednesday_x000d__x000d_
15-Jul-26</v>
      </c>
      <c r="F70" t="str" xml:space="preserve">
        <v xml:space="preserve">Thursday_x000d__x000d_
16-Jul-26</v>
      </c>
      <c r="G70" t="str" xml:space="preserve">
        <v xml:space="preserve">Friday_x000d__x000d_
17-Jul-26</v>
      </c>
      <c r="H70" t="str" xml:space="preserve">
        <v xml:space="preserve">Saturday_x000d__x000d_
18-Jul-26</v>
      </c>
      <c r="I70" t="str" xml:space="preserve">
        <v xml:space="preserve">Sunday_x000d__x000d_
19-Jul-26</v>
      </c>
      <c r="J70" t="str" xml:space="preserve">
        <v xml:space="preserve">Monday_x000d__x000d_
20-Jul-26</v>
      </c>
      <c r="K70">
        <v>39139</v>
      </c>
      <c r="L70" t="str">
        <v>MEAT CHICKEN COOKED</v>
      </c>
      <c r="M70" t="str">
        <v>CARTON-10X600GM</v>
      </c>
      <c r="N70">
        <v>1.11</v>
      </c>
      <c r="O70">
        <v>1.56</v>
      </c>
      <c r="P70">
        <v>1.61</v>
      </c>
      <c r="Q70">
        <v>2.44</v>
      </c>
      <c r="R70">
        <v>2.23</v>
      </c>
      <c r="S70">
        <v>2.11</v>
      </c>
      <c r="T70">
        <v>0.99</v>
      </c>
    </row>
    <row r="71" xml:space="preserve">
      <c r="A71" t="str">
        <v>Item Code</v>
      </c>
      <c r="B71" t="str">
        <v>Item</v>
      </c>
      <c r="C71" t="str">
        <v>Unit</v>
      </c>
      <c r="D71" t="str" xml:space="preserve">
        <v xml:space="preserve">Tuesday_x000d__x000d_
14-Jul-26</v>
      </c>
      <c r="E71" t="str" xml:space="preserve">
        <v xml:space="preserve">Wednesday_x000d__x000d_
15-Jul-26</v>
      </c>
      <c r="F71" t="str" xml:space="preserve">
        <v xml:space="preserve">Thursday_x000d__x000d_
16-Jul-26</v>
      </c>
      <c r="G71" t="str" xml:space="preserve">
        <v xml:space="preserve">Friday_x000d__x000d_
17-Jul-26</v>
      </c>
      <c r="H71" t="str" xml:space="preserve">
        <v xml:space="preserve">Saturday_x000d__x000d_
18-Jul-26</v>
      </c>
      <c r="I71" t="str" xml:space="preserve">
        <v xml:space="preserve">Sunday_x000d__x000d_
19-Jul-26</v>
      </c>
      <c r="J71" t="str" xml:space="preserve">
        <v xml:space="preserve">Monday_x000d__x000d_
20-Jul-26</v>
      </c>
      <c r="K71">
        <v>36549</v>
      </c>
      <c r="L71" t="str">
        <v>NAPKINS BROWN RECYCLE</v>
      </c>
      <c r="M71" t="str">
        <v>CARTON-12x500</v>
      </c>
      <c r="N71">
        <v>0.09</v>
      </c>
      <c r="O71">
        <v>0.11</v>
      </c>
      <c r="P71">
        <v>0.11</v>
      </c>
      <c r="Q71">
        <v>0.16</v>
      </c>
      <c r="R71">
        <v>0.16</v>
      </c>
      <c r="S71">
        <v>0.14</v>
      </c>
      <c r="T71">
        <v>0.08</v>
      </c>
    </row>
    <row r="72" xml:space="preserve">
      <c r="A72" t="str">
        <v>Item Code</v>
      </c>
      <c r="B72" t="str">
        <v>Item</v>
      </c>
      <c r="C72" t="str">
        <v>Unit</v>
      </c>
      <c r="D72" t="str" xml:space="preserve">
        <v xml:space="preserve">Tuesday_x000d__x000d_
14-Jul-26</v>
      </c>
      <c r="E72" t="str" xml:space="preserve">
        <v xml:space="preserve">Wednesday_x000d__x000d_
15-Jul-26</v>
      </c>
      <c r="F72" t="str" xml:space="preserve">
        <v xml:space="preserve">Thursday_x000d__x000d_
16-Jul-26</v>
      </c>
      <c r="G72" t="str" xml:space="preserve">
        <v xml:space="preserve">Friday_x000d__x000d_
17-Jul-26</v>
      </c>
      <c r="H72" t="str" xml:space="preserve">
        <v xml:space="preserve">Saturday_x000d__x000d_
18-Jul-26</v>
      </c>
      <c r="I72" t="str" xml:space="preserve">
        <v xml:space="preserve">Sunday_x000d__x000d_
19-Jul-26</v>
      </c>
      <c r="J72" t="str" xml:space="preserve">
        <v xml:space="preserve">Monday_x000d__x000d_
20-Jul-26</v>
      </c>
      <c r="K72">
        <v>33312</v>
      </c>
      <c r="L72" t="str">
        <v>OIL FRYING LIQUID CARGILL</v>
      </c>
      <c r="M72" t="str">
        <v>CARTON-15KG</v>
      </c>
      <c r="N72">
        <v>0.42</v>
      </c>
      <c r="O72">
        <v>0.51</v>
      </c>
      <c r="P72">
        <v>0.53</v>
      </c>
      <c r="Q72">
        <v>0.75</v>
      </c>
      <c r="R72">
        <v>0.72</v>
      </c>
      <c r="S72">
        <v>0.66</v>
      </c>
      <c r="T72">
        <v>0.39</v>
      </c>
    </row>
    <row r="73" xml:space="preserve">
      <c r="A73" t="str">
        <v>Item Code</v>
      </c>
      <c r="B73" t="str">
        <v>Item</v>
      </c>
      <c r="C73" t="str">
        <v>Unit</v>
      </c>
      <c r="D73" t="str" xml:space="preserve">
        <v xml:space="preserve">Tuesday_x000d__x000d_
14-Jul-26</v>
      </c>
      <c r="E73" t="str" xml:space="preserve">
        <v xml:space="preserve">Wednesday_x000d__x000d_
15-Jul-26</v>
      </c>
      <c r="F73" t="str" xml:space="preserve">
        <v xml:space="preserve">Thursday_x000d__x000d_
16-Jul-26</v>
      </c>
      <c r="G73" t="str" xml:space="preserve">
        <v xml:space="preserve">Friday_x000d__x000d_
17-Jul-26</v>
      </c>
      <c r="H73" t="str" xml:space="preserve">
        <v xml:space="preserve">Saturday_x000d__x000d_
18-Jul-26</v>
      </c>
      <c r="I73" t="str" xml:space="preserve">
        <v xml:space="preserve">Sunday_x000d__x000d_
19-Jul-26</v>
      </c>
      <c r="J73" t="str" xml:space="preserve">
        <v xml:space="preserve">Monday_x000d__x000d_
20-Jul-26</v>
      </c>
      <c r="K73">
        <v>15659</v>
      </c>
      <c r="L73" t="str">
        <v>ONION BROWN DICED</v>
      </c>
      <c r="M73" t="str">
        <v>CARTON-4x1KG</v>
      </c>
      <c r="N73">
        <v>0.28</v>
      </c>
      <c r="O73">
        <v>0.25</v>
      </c>
      <c r="P73">
        <v>0.25</v>
      </c>
      <c r="Q73">
        <v>0.38</v>
      </c>
      <c r="R73">
        <v>0.33</v>
      </c>
      <c r="S73">
        <v>0.29</v>
      </c>
      <c r="T73">
        <v>0.19</v>
      </c>
    </row>
    <row r="74" xml:space="preserve">
      <c r="A74" t="str">
        <v>Item Code</v>
      </c>
      <c r="B74" t="str">
        <v>Item</v>
      </c>
      <c r="C74" t="str">
        <v>Unit</v>
      </c>
      <c r="D74" t="str" xml:space="preserve">
        <v xml:space="preserve">Tuesday_x000d__x000d_
14-Jul-26</v>
      </c>
      <c r="E74" t="str" xml:space="preserve">
        <v xml:space="preserve">Wednesday_x000d__x000d_
15-Jul-26</v>
      </c>
      <c r="F74" t="str" xml:space="preserve">
        <v xml:space="preserve">Thursday_x000d__x000d_
16-Jul-26</v>
      </c>
      <c r="G74" t="str" xml:space="preserve">
        <v xml:space="preserve">Friday_x000d__x000d_
17-Jul-26</v>
      </c>
      <c r="H74" t="str" xml:space="preserve">
        <v xml:space="preserve">Saturday_x000d__x000d_
18-Jul-26</v>
      </c>
      <c r="I74" t="str" xml:space="preserve">
        <v xml:space="preserve">Sunday_x000d__x000d_
19-Jul-26</v>
      </c>
      <c r="J74" t="str" xml:space="preserve">
        <v xml:space="preserve">Monday_x000d__x000d_
20-Jul-26</v>
      </c>
      <c r="K74">
        <v>37915</v>
      </c>
      <c r="L74" t="str">
        <v>RICE LONG GRAIN WHITE</v>
      </c>
      <c r="M74" t="str">
        <v>BAG-10KG</v>
      </c>
      <c r="N74">
        <v>0.28</v>
      </c>
      <c r="O74">
        <v>0.34</v>
      </c>
      <c r="P74">
        <v>0.35</v>
      </c>
      <c r="Q74">
        <v>0.49</v>
      </c>
      <c r="R74">
        <v>0.49</v>
      </c>
      <c r="S74">
        <v>0.39</v>
      </c>
      <c r="T74">
        <v>0.23</v>
      </c>
    </row>
    <row r="75" xml:space="preserve">
      <c r="A75" t="str">
        <v>Item Code</v>
      </c>
      <c r="B75" t="str">
        <v>Item</v>
      </c>
      <c r="C75" t="str">
        <v>Unit</v>
      </c>
      <c r="D75" t="str" xml:space="preserve">
        <v xml:space="preserve">Tuesday_x000d__x000d_
14-Jul-26</v>
      </c>
      <c r="E75" t="str" xml:space="preserve">
        <v xml:space="preserve">Wednesday_x000d__x000d_
15-Jul-26</v>
      </c>
      <c r="F75" t="str" xml:space="preserve">
        <v xml:space="preserve">Thursday_x000d__x000d_
16-Jul-26</v>
      </c>
      <c r="G75" t="str" xml:space="preserve">
        <v xml:space="preserve">Friday_x000d__x000d_
17-Jul-26</v>
      </c>
      <c r="H75" t="str" xml:space="preserve">
        <v xml:space="preserve">Saturday_x000d__x000d_
18-Jul-26</v>
      </c>
      <c r="I75" t="str" xml:space="preserve">
        <v xml:space="preserve">Sunday_x000d__x000d_
19-Jul-26</v>
      </c>
      <c r="J75" t="str" xml:space="preserve">
        <v xml:space="preserve">Monday_x000d__x000d_
20-Jul-26</v>
      </c>
      <c r="K75">
        <v>38670</v>
      </c>
      <c r="L75" t="str">
        <v>SALAD CORIANDER CHOPPED</v>
      </c>
      <c r="M75" t="str">
        <v>BAG-500GM</v>
      </c>
      <c r="N75">
        <v>0.33</v>
      </c>
      <c r="O75">
        <v>0.3</v>
      </c>
      <c r="P75">
        <v>0.3</v>
      </c>
      <c r="Q75">
        <v>0.46</v>
      </c>
      <c r="R75">
        <v>0.4</v>
      </c>
      <c r="S75">
        <v>0.35</v>
      </c>
      <c r="T75">
        <v>0.23</v>
      </c>
    </row>
    <row r="76" xml:space="preserve">
      <c r="A76" t="str">
        <v>Item Code</v>
      </c>
      <c r="B76" t="str">
        <v>Item</v>
      </c>
      <c r="C76" t="str">
        <v>Unit</v>
      </c>
      <c r="D76" t="str" xml:space="preserve">
        <v xml:space="preserve">Tuesday_x000d__x000d_
14-Jul-26</v>
      </c>
      <c r="E76" t="str" xml:space="preserve">
        <v xml:space="preserve">Wednesday_x000d__x000d_
15-Jul-26</v>
      </c>
      <c r="F76" t="str" xml:space="preserve">
        <v xml:space="preserve">Thursday_x000d__x000d_
16-Jul-26</v>
      </c>
      <c r="G76" t="str" xml:space="preserve">
        <v xml:space="preserve">Friday_x000d__x000d_
17-Jul-26</v>
      </c>
      <c r="H76" t="str" xml:space="preserve">
        <v xml:space="preserve">Saturday_x000d__x000d_
18-Jul-26</v>
      </c>
      <c r="I76" t="str" xml:space="preserve">
        <v xml:space="preserve">Sunday_x000d__x000d_
19-Jul-26</v>
      </c>
      <c r="J76" t="str" xml:space="preserve">
        <v xml:space="preserve">Monday_x000d__x000d_
20-Jul-26</v>
      </c>
      <c r="K76">
        <v>106191</v>
      </c>
      <c r="L76" t="str">
        <v>SAUCE CARAMEL MONIN 1.89L</v>
      </c>
      <c r="M76" t="str">
        <v>CARTON-4x1.89L</v>
      </c>
      <c r="N76">
        <v>0.01</v>
      </c>
      <c r="O76">
        <v>0.02</v>
      </c>
      <c r="P76">
        <v>0.01</v>
      </c>
      <c r="Q76">
        <v>0.03</v>
      </c>
      <c r="R76">
        <v>0.02</v>
      </c>
      <c r="S76">
        <v>0.01</v>
      </c>
      <c r="T76">
        <v>0.02</v>
      </c>
    </row>
    <row r="77" xml:space="preserve">
      <c r="A77" t="str">
        <v>Item Code</v>
      </c>
      <c r="B77" t="str">
        <v>Item</v>
      </c>
      <c r="C77" t="str">
        <v>Unit</v>
      </c>
      <c r="D77" t="str" xml:space="preserve">
        <v xml:space="preserve">Tuesday_x000d__x000d_
14-Jul-26</v>
      </c>
      <c r="E77" t="str" xml:space="preserve">
        <v xml:space="preserve">Wednesday_x000d__x000d_
15-Jul-26</v>
      </c>
      <c r="F77" t="str" xml:space="preserve">
        <v xml:space="preserve">Thursday_x000d__x000d_
16-Jul-26</v>
      </c>
      <c r="G77" t="str" xml:space="preserve">
        <v xml:space="preserve">Friday_x000d__x000d_
17-Jul-26</v>
      </c>
      <c r="H77" t="str" xml:space="preserve">
        <v xml:space="preserve">Saturday_x000d__x000d_
18-Jul-26</v>
      </c>
      <c r="I77" t="str" xml:space="preserve">
        <v xml:space="preserve">Sunday_x000d__x000d_
19-Jul-26</v>
      </c>
      <c r="J77" t="str" xml:space="preserve">
        <v xml:space="preserve">Monday_x000d__x000d_
20-Jul-26</v>
      </c>
      <c r="K77">
        <v>37870</v>
      </c>
      <c r="L77" t="str">
        <v>SAUCE CHILLI MILD</v>
      </c>
      <c r="M77" t="str">
        <v>CARTON-10x1KG</v>
      </c>
      <c r="N77">
        <v>0.16</v>
      </c>
      <c r="O77">
        <v>0.26</v>
      </c>
      <c r="P77">
        <v>0.22</v>
      </c>
      <c r="Q77">
        <v>0.28</v>
      </c>
      <c r="R77">
        <v>0.28</v>
      </c>
      <c r="S77">
        <v>0.22</v>
      </c>
      <c r="T77">
        <v>0.18</v>
      </c>
    </row>
    <row r="78" xml:space="preserve">
      <c r="A78" t="str">
        <v>Item Code</v>
      </c>
      <c r="B78" t="str">
        <v>Item</v>
      </c>
      <c r="C78" t="str">
        <v>Unit</v>
      </c>
      <c r="D78" t="str" xml:space="preserve">
        <v xml:space="preserve">Tuesday_x000d__x000d_
14-Jul-26</v>
      </c>
      <c r="E78" t="str" xml:space="preserve">
        <v xml:space="preserve">Wednesday_x000d__x000d_
15-Jul-26</v>
      </c>
      <c r="F78" t="str" xml:space="preserve">
        <v xml:space="preserve">Thursday_x000d__x000d_
16-Jul-26</v>
      </c>
      <c r="G78" t="str" xml:space="preserve">
        <v xml:space="preserve">Friday_x000d__x000d_
17-Jul-26</v>
      </c>
      <c r="H78" t="str" xml:space="preserve">
        <v xml:space="preserve">Saturday_x000d__x000d_
18-Jul-26</v>
      </c>
      <c r="I78" t="str" xml:space="preserve">
        <v xml:space="preserve">Sunday_x000d__x000d_
19-Jul-26</v>
      </c>
      <c r="J78" t="str" xml:space="preserve">
        <v xml:space="preserve">Monday_x000d__x000d_
20-Jul-26</v>
      </c>
      <c r="K78">
        <v>38493</v>
      </c>
      <c r="L78" t="str">
        <v>SAUCE CHIPOTLE MAYO 1</v>
      </c>
      <c r="M78" t="str">
        <v>CARTON-15x1KG</v>
      </c>
      <c r="N78">
        <v>0.08</v>
      </c>
      <c r="O78">
        <v>0.17</v>
      </c>
      <c r="P78">
        <v>0.2</v>
      </c>
      <c r="Q78">
        <v>0.16</v>
      </c>
      <c r="R78">
        <v>0.2</v>
      </c>
      <c r="S78">
        <v>0.2</v>
      </c>
      <c r="T78">
        <v>0.11</v>
      </c>
    </row>
    <row r="79" xml:space="preserve">
      <c r="A79" t="str">
        <v>Item Code</v>
      </c>
      <c r="B79" t="str">
        <v>Item</v>
      </c>
      <c r="C79" t="str">
        <v>Unit</v>
      </c>
      <c r="D79" t="str" xml:space="preserve">
        <v xml:space="preserve">Tuesday_x000d__x000d_
14-Jul-26</v>
      </c>
      <c r="E79" t="str" xml:space="preserve">
        <v xml:space="preserve">Wednesday_x000d__x000d_
15-Jul-26</v>
      </c>
      <c r="F79" t="str" xml:space="preserve">
        <v xml:space="preserve">Thursday_x000d__x000d_
16-Jul-26</v>
      </c>
      <c r="G79" t="str" xml:space="preserve">
        <v xml:space="preserve">Friday_x000d__x000d_
17-Jul-26</v>
      </c>
      <c r="H79" t="str" xml:space="preserve">
        <v xml:space="preserve">Saturday_x000d__x000d_
18-Jul-26</v>
      </c>
      <c r="I79" t="str" xml:space="preserve">
        <v xml:space="preserve">Sunday_x000d__x000d_
19-Jul-26</v>
      </c>
      <c r="J79" t="str" xml:space="preserve">
        <v xml:space="preserve">Monday_x000d__x000d_
20-Jul-26</v>
      </c>
      <c r="K79">
        <v>37883</v>
      </c>
      <c r="L79" t="str">
        <v>SAUCE CHOCOLATE DA VINCI</v>
      </c>
      <c r="M79" t="str">
        <v>CARTON-3x2L</v>
      </c>
      <c r="N79">
        <v>0.09</v>
      </c>
      <c r="O79">
        <v>0.04</v>
      </c>
      <c r="P79">
        <v>0.04</v>
      </c>
      <c r="Q79">
        <v>0.06</v>
      </c>
      <c r="R79">
        <v>0.1</v>
      </c>
      <c r="S79">
        <v>0.08</v>
      </c>
      <c r="T79">
        <v>0.03</v>
      </c>
    </row>
    <row r="80" xml:space="preserve">
      <c r="A80" t="str">
        <v>Item Code</v>
      </c>
      <c r="B80" t="str">
        <v>Item</v>
      </c>
      <c r="C80" t="str">
        <v>Unit</v>
      </c>
      <c r="D80" t="str" xml:space="preserve">
        <v xml:space="preserve">Tuesday_x000d__x000d_
14-Jul-26</v>
      </c>
      <c r="E80" t="str" xml:space="preserve">
        <v xml:space="preserve">Wednesday_x000d__x000d_
15-Jul-26</v>
      </c>
      <c r="F80" t="str" xml:space="preserve">
        <v xml:space="preserve">Thursday_x000d__x000d_
16-Jul-26</v>
      </c>
      <c r="G80" t="str" xml:space="preserve">
        <v xml:space="preserve">Friday_x000d__x000d_
17-Jul-26</v>
      </c>
      <c r="H80" t="str" xml:space="preserve">
        <v xml:space="preserve">Saturday_x000d__x000d_
18-Jul-26</v>
      </c>
      <c r="I80" t="str" xml:space="preserve">
        <v xml:space="preserve">Sunday_x000d__x000d_
19-Jul-26</v>
      </c>
      <c r="J80" t="str" xml:space="preserve">
        <v xml:space="preserve">Monday_x000d__x000d_
20-Jul-26</v>
      </c>
      <c r="K80">
        <v>38722</v>
      </c>
      <c r="L80" t="str">
        <v>SAUCE CREAMY JALAPENO</v>
      </c>
      <c r="M80" t="str">
        <v>CARTON-10x1KG</v>
      </c>
      <c r="N80">
        <v>0.04</v>
      </c>
      <c r="O80">
        <v>0.08</v>
      </c>
      <c r="P80">
        <v>0.1</v>
      </c>
      <c r="Q80">
        <v>0.08</v>
      </c>
      <c r="R80">
        <v>0.09</v>
      </c>
      <c r="S80">
        <v>0.09</v>
      </c>
      <c r="T80">
        <v>0.04</v>
      </c>
    </row>
    <row r="81" xml:space="preserve">
      <c r="A81" t="str">
        <v>Item Code</v>
      </c>
      <c r="B81" t="str">
        <v>Item</v>
      </c>
      <c r="C81" t="str">
        <v>Unit</v>
      </c>
      <c r="D81" t="str" xml:space="preserve">
        <v xml:space="preserve">Tuesday_x000d__x000d_
14-Jul-26</v>
      </c>
      <c r="E81" t="str" xml:space="preserve">
        <v xml:space="preserve">Wednesday_x000d__x000d_
15-Jul-26</v>
      </c>
      <c r="F81" t="str" xml:space="preserve">
        <v xml:space="preserve">Thursday_x000d__x000d_
16-Jul-26</v>
      </c>
      <c r="G81" t="str" xml:space="preserve">
        <v xml:space="preserve">Friday_x000d__x000d_
17-Jul-26</v>
      </c>
      <c r="H81" t="str" xml:space="preserve">
        <v xml:space="preserve">Saturday_x000d__x000d_
18-Jul-26</v>
      </c>
      <c r="I81" t="str" xml:space="preserve">
        <v xml:space="preserve">Sunday_x000d__x000d_
19-Jul-26</v>
      </c>
      <c r="J81" t="str" xml:space="preserve">
        <v xml:space="preserve">Monday_x000d__x000d_
20-Jul-26</v>
      </c>
      <c r="K81">
        <v>100457</v>
      </c>
      <c r="L81" t="str">
        <v>SAUCE FIRE 10X1KG</v>
      </c>
      <c r="M81" t="str">
        <v>CARTON-10x1KG</v>
      </c>
      <c r="N81">
        <v>0.04</v>
      </c>
      <c r="O81">
        <v>0.1</v>
      </c>
      <c r="P81">
        <v>0.07</v>
      </c>
      <c r="Q81">
        <v>0.05</v>
      </c>
      <c r="R81">
        <v>0.08</v>
      </c>
      <c r="S81">
        <v>0.09</v>
      </c>
      <c r="T81">
        <v>0.03</v>
      </c>
    </row>
    <row r="82" xml:space="preserve">
      <c r="A82" t="str">
        <v>Item Code</v>
      </c>
      <c r="B82" t="str">
        <v>Item</v>
      </c>
      <c r="C82" t="str">
        <v>Unit</v>
      </c>
      <c r="D82" t="str" xml:space="preserve">
        <v xml:space="preserve">Tuesday_x000d__x000d_
14-Jul-26</v>
      </c>
      <c r="E82" t="str" xml:space="preserve">
        <v xml:space="preserve">Wednesday_x000d__x000d_
15-Jul-26</v>
      </c>
      <c r="F82" t="str" xml:space="preserve">
        <v xml:space="preserve">Thursday_x000d__x000d_
16-Jul-26</v>
      </c>
      <c r="G82" t="str" xml:space="preserve">
        <v xml:space="preserve">Friday_x000d__x000d_
17-Jul-26</v>
      </c>
      <c r="H82" t="str" xml:space="preserve">
        <v xml:space="preserve">Saturday_x000d__x000d_
18-Jul-26</v>
      </c>
      <c r="I82" t="str" xml:space="preserve">
        <v xml:space="preserve">Sunday_x000d__x000d_
19-Jul-26</v>
      </c>
      <c r="J82" t="str" xml:space="preserve">
        <v xml:space="preserve">Monday_x000d__x000d_
20-Jul-26</v>
      </c>
      <c r="K82">
        <v>37909</v>
      </c>
      <c r="L82" t="str">
        <v>SAUCE NACHO CHEESE</v>
      </c>
      <c r="M82" t="str">
        <v>CARTON-6x1.8KG</v>
      </c>
      <c r="N82">
        <v>0.78</v>
      </c>
      <c r="O82">
        <v>0.88</v>
      </c>
      <c r="P82">
        <v>0.94</v>
      </c>
      <c r="Q82">
        <v>1.42</v>
      </c>
      <c r="R82">
        <v>1.17</v>
      </c>
      <c r="S82">
        <v>1.06</v>
      </c>
      <c r="T82">
        <v>0.79</v>
      </c>
    </row>
    <row r="83" xml:space="preserve">
      <c r="A83" t="str">
        <v>Item Code</v>
      </c>
      <c r="B83" t="str">
        <v>Item</v>
      </c>
      <c r="C83" t="str">
        <v>Unit</v>
      </c>
      <c r="D83" t="str" xml:space="preserve">
        <v xml:space="preserve">Tuesday_x000d__x000d_
14-Jul-26</v>
      </c>
      <c r="E83" t="str" xml:space="preserve">
        <v xml:space="preserve">Wednesday_x000d__x000d_
15-Jul-26</v>
      </c>
      <c r="F83" t="str" xml:space="preserve">
        <v xml:space="preserve">Thursday_x000d__x000d_
16-Jul-26</v>
      </c>
      <c r="G83" t="str" xml:space="preserve">
        <v xml:space="preserve">Friday_x000d__x000d_
17-Jul-26</v>
      </c>
      <c r="H83" t="str" xml:space="preserve">
        <v xml:space="preserve">Saturday_x000d__x000d_
18-Jul-26</v>
      </c>
      <c r="I83" t="str" xml:space="preserve">
        <v xml:space="preserve">Sunday_x000d__x000d_
19-Jul-26</v>
      </c>
      <c r="J83" t="str" xml:space="preserve">
        <v xml:space="preserve">Monday_x000d__x000d_
20-Jul-26</v>
      </c>
      <c r="K83">
        <v>37913</v>
      </c>
      <c r="L83" t="str">
        <v>SAUCE PICO DE GALLO 100GM</v>
      </c>
      <c r="M83" t="str">
        <v>CARTON-12x500GM</v>
      </c>
      <c r="N83">
        <v>0.04</v>
      </c>
      <c r="O83">
        <v>0.04</v>
      </c>
      <c r="P83">
        <v>0.04</v>
      </c>
      <c r="Q83">
        <v>0.06</v>
      </c>
      <c r="R83">
        <v>0.05</v>
      </c>
      <c r="S83">
        <v>0.04</v>
      </c>
      <c r="T83">
        <v>0.03</v>
      </c>
    </row>
    <row r="84" xml:space="preserve">
      <c r="A84" t="str">
        <v>Item Code</v>
      </c>
      <c r="B84" t="str">
        <v>Item</v>
      </c>
      <c r="C84" t="str">
        <v>Unit</v>
      </c>
      <c r="D84" t="str" xml:space="preserve">
        <v xml:space="preserve">Tuesday_x000d__x000d_
14-Jul-26</v>
      </c>
      <c r="E84" t="str" xml:space="preserve">
        <v xml:space="preserve">Wednesday_x000d__x000d_
15-Jul-26</v>
      </c>
      <c r="F84" t="str" xml:space="preserve">
        <v xml:space="preserve">Thursday_x000d__x000d_
16-Jul-26</v>
      </c>
      <c r="G84" t="str" xml:space="preserve">
        <v xml:space="preserve">Friday_x000d__x000d_
17-Jul-26</v>
      </c>
      <c r="H84" t="str" xml:space="preserve">
        <v xml:space="preserve">Saturday_x000d__x000d_
18-Jul-26</v>
      </c>
      <c r="I84" t="str" xml:space="preserve">
        <v xml:space="preserve">Sunday_x000d__x000d_
19-Jul-26</v>
      </c>
      <c r="J84" t="str" xml:space="preserve">
        <v xml:space="preserve">Monday_x000d__x000d_
20-Jul-26</v>
      </c>
      <c r="K84">
        <v>38414</v>
      </c>
      <c r="L84" t="str">
        <v>SAUCE ZESTY RANCH 1</v>
      </c>
      <c r="M84" t="str">
        <v>CARTON-15x1KG</v>
      </c>
      <c r="N84">
        <v>0.23</v>
      </c>
      <c r="O84">
        <v>0.28</v>
      </c>
      <c r="P84">
        <v>0.29</v>
      </c>
      <c r="Q84">
        <v>0.39</v>
      </c>
      <c r="R84">
        <v>0.38</v>
      </c>
      <c r="S84">
        <v>0.34</v>
      </c>
      <c r="T84">
        <v>0.18</v>
      </c>
    </row>
    <row r="85" xml:space="preserve">
      <c r="A85" t="str">
        <v>Item Code</v>
      </c>
      <c r="B85" t="str">
        <v>Item</v>
      </c>
      <c r="C85" t="str">
        <v>Unit</v>
      </c>
      <c r="D85" t="str" xml:space="preserve">
        <v xml:space="preserve">Tuesday_x000d__x000d_
14-Jul-26</v>
      </c>
      <c r="E85" t="str" xml:space="preserve">
        <v xml:space="preserve">Wednesday_x000d__x000d_
15-Jul-26</v>
      </c>
      <c r="F85" t="str" xml:space="preserve">
        <v xml:space="preserve">Thursday_x000d__x000d_
16-Jul-26</v>
      </c>
      <c r="G85" t="str" xml:space="preserve">
        <v xml:space="preserve">Friday_x000d__x000d_
17-Jul-26</v>
      </c>
      <c r="H85" t="str" xml:space="preserve">
        <v xml:space="preserve">Saturday_x000d__x000d_
18-Jul-26</v>
      </c>
      <c r="I85" t="str" xml:space="preserve">
        <v xml:space="preserve">Sunday_x000d__x000d_
19-Jul-26</v>
      </c>
      <c r="J85" t="str" xml:space="preserve">
        <v xml:space="preserve">Monday_x000d__x000d_
20-Jul-26</v>
      </c>
      <c r="K85">
        <v>37907</v>
      </c>
      <c r="L85" t="str">
        <v>SEASONING MEXICAN RICE</v>
      </c>
      <c r="M85" t="str">
        <v>BAG-10KG</v>
      </c>
      <c r="N85">
        <v>0.09</v>
      </c>
      <c r="O85">
        <v>0.1</v>
      </c>
      <c r="P85">
        <v>0.11</v>
      </c>
      <c r="Q85">
        <v>0.16</v>
      </c>
      <c r="R85">
        <v>0.15</v>
      </c>
      <c r="S85">
        <v>0.13</v>
      </c>
      <c r="T85">
        <v>0.08</v>
      </c>
    </row>
    <row r="86" xml:space="preserve">
      <c r="A86" t="str">
        <v>Item Code</v>
      </c>
      <c r="B86" t="str">
        <v>Item</v>
      </c>
      <c r="C86" t="str">
        <v>Unit</v>
      </c>
      <c r="D86" t="str" xml:space="preserve">
        <v xml:space="preserve">Tuesday_x000d__x000d_
14-Jul-26</v>
      </c>
      <c r="E86" t="str" xml:space="preserve">
        <v xml:space="preserve">Wednesday_x000d__x000d_
15-Jul-26</v>
      </c>
      <c r="F86" t="str" xml:space="preserve">
        <v xml:space="preserve">Thursday_x000d__x000d_
16-Jul-26</v>
      </c>
      <c r="G86" t="str" xml:space="preserve">
        <v xml:space="preserve">Friday_x000d__x000d_
17-Jul-26</v>
      </c>
      <c r="H86" t="str" xml:space="preserve">
        <v xml:space="preserve">Saturday_x000d__x000d_
18-Jul-26</v>
      </c>
      <c r="I86" t="str" xml:space="preserve">
        <v xml:space="preserve">Sunday_x000d__x000d_
19-Jul-26</v>
      </c>
      <c r="J86" t="str" xml:space="preserve">
        <v xml:space="preserve">Monday_x000d__x000d_
20-Jul-26</v>
      </c>
      <c r="K86">
        <v>39185</v>
      </c>
      <c r="L86" t="str">
        <v>STRAW PAPER KFC</v>
      </c>
      <c r="M86" t="str">
        <v>CARTON-4000</v>
      </c>
      <c r="N86">
        <v>0.03</v>
      </c>
      <c r="O86">
        <v>0.04</v>
      </c>
      <c r="P86">
        <v>0.04</v>
      </c>
      <c r="Q86">
        <v>0.07</v>
      </c>
      <c r="R86">
        <v>0.06</v>
      </c>
      <c r="S86">
        <v>0.05</v>
      </c>
      <c r="T86">
        <v>0.03</v>
      </c>
    </row>
    <row r="87" xml:space="preserve">
      <c r="A87" t="str">
        <v>Item Code</v>
      </c>
      <c r="B87" t="str">
        <v>Item</v>
      </c>
      <c r="C87" t="str">
        <v>Unit</v>
      </c>
      <c r="D87" t="str" xml:space="preserve">
        <v xml:space="preserve">Tuesday_x000d__x000d_
14-Jul-26</v>
      </c>
      <c r="E87" t="str" xml:space="preserve">
        <v xml:space="preserve">Wednesday_x000d__x000d_
15-Jul-26</v>
      </c>
      <c r="F87" t="str" xml:space="preserve">
        <v xml:space="preserve">Thursday_x000d__x000d_
16-Jul-26</v>
      </c>
      <c r="G87" t="str" xml:space="preserve">
        <v xml:space="preserve">Friday_x000d__x000d_
17-Jul-26</v>
      </c>
      <c r="H87" t="str" xml:space="preserve">
        <v xml:space="preserve">Saturday_x000d__x000d_
18-Jul-26</v>
      </c>
      <c r="I87" t="str" xml:space="preserve">
        <v xml:space="preserve">Sunday_x000d__x000d_
19-Jul-26</v>
      </c>
      <c r="J87" t="str" xml:space="preserve">
        <v xml:space="preserve">Monday_x000d__x000d_
20-Jul-26</v>
      </c>
      <c r="K87">
        <v>34210</v>
      </c>
      <c r="L87" t="str">
        <v>SUGAR CINNAMON 5KG</v>
      </c>
      <c r="M87" t="str">
        <v>CARTON-5x2.5KG</v>
      </c>
      <c r="N87">
        <v>0.01</v>
      </c>
      <c r="O87">
        <v>0.01</v>
      </c>
      <c r="P87">
        <v>0.01</v>
      </c>
      <c r="Q87">
        <v>0.01</v>
      </c>
      <c r="R87">
        <v>0.02</v>
      </c>
      <c r="S87">
        <v>0.01</v>
      </c>
      <c r="T87">
        <v>0.01</v>
      </c>
    </row>
    <row r="88" xml:space="preserve">
      <c r="A88" t="str">
        <v>Item Code</v>
      </c>
      <c r="B88" t="str">
        <v>Item</v>
      </c>
      <c r="C88" t="str">
        <v>Unit</v>
      </c>
      <c r="D88" t="str" xml:space="preserve">
        <v xml:space="preserve">Tuesday_x000d__x000d_
14-Jul-26</v>
      </c>
      <c r="E88" t="str" xml:space="preserve">
        <v xml:space="preserve">Wednesday_x000d__x000d_
15-Jul-26</v>
      </c>
      <c r="F88" t="str" xml:space="preserve">
        <v xml:space="preserve">Thursday_x000d__x000d_
16-Jul-26</v>
      </c>
      <c r="G88" t="str" xml:space="preserve">
        <v xml:space="preserve">Friday_x000d__x000d_
17-Jul-26</v>
      </c>
      <c r="H88" t="str" xml:space="preserve">
        <v xml:space="preserve">Saturday_x000d__x000d_
18-Jul-26</v>
      </c>
      <c r="I88" t="str" xml:space="preserve">
        <v xml:space="preserve">Sunday_x000d__x000d_
19-Jul-26</v>
      </c>
      <c r="J88" t="str" xml:space="preserve">
        <v xml:space="preserve">Monday_x000d__x000d_
20-Jul-26</v>
      </c>
      <c r="K88">
        <v>38362</v>
      </c>
      <c r="L88" t="str">
        <v>TB FIESTA SALSA (FINISHED PRODUCT)</v>
      </c>
      <c r="M88" t="str">
        <v>KG</v>
      </c>
      <c r="N88">
        <v>1.81</v>
      </c>
      <c r="O88">
        <v>1.6</v>
      </c>
      <c r="P88">
        <v>1.83</v>
      </c>
      <c r="Q88">
        <v>2.9</v>
      </c>
      <c r="R88">
        <v>2.39</v>
      </c>
      <c r="S88">
        <v>2.09</v>
      </c>
      <c r="T88">
        <v>1.21</v>
      </c>
    </row>
    <row r="89" xml:space="preserve">
      <c r="A89" t="str">
        <v>Item Code</v>
      </c>
      <c r="B89" t="str">
        <v>Item</v>
      </c>
      <c r="C89" t="str">
        <v>Unit</v>
      </c>
      <c r="D89" t="str" xml:space="preserve">
        <v xml:space="preserve">Tuesday_x000d__x000d_
14-Jul-26</v>
      </c>
      <c r="E89" t="str" xml:space="preserve">
        <v xml:space="preserve">Wednesday_x000d__x000d_
15-Jul-26</v>
      </c>
      <c r="F89" t="str" xml:space="preserve">
        <v xml:space="preserve">Thursday_x000d__x000d_
16-Jul-26</v>
      </c>
      <c r="G89" t="str" xml:space="preserve">
        <v xml:space="preserve">Friday_x000d__x000d_
17-Jul-26</v>
      </c>
      <c r="H89" t="str" xml:space="preserve">
        <v xml:space="preserve">Saturday_x000d__x000d_
18-Jul-26</v>
      </c>
      <c r="I89" t="str" xml:space="preserve">
        <v xml:space="preserve">Sunday_x000d__x000d_
19-Jul-26</v>
      </c>
      <c r="J89" t="str" xml:space="preserve">
        <v xml:space="preserve">Monday_x000d__x000d_
20-Jul-26</v>
      </c>
      <c r="K89">
        <v>38360</v>
      </c>
      <c r="L89" t="str">
        <v>TB GUACAMOLE (FINISHED PRODUCT)</v>
      </c>
      <c r="M89" t="str">
        <v>GRAM-1GM</v>
      </c>
      <c r="N89">
        <v>2760.9</v>
      </c>
      <c r="O89">
        <v>2197.2</v>
      </c>
      <c r="P89">
        <v>2312.1</v>
      </c>
      <c r="Q89">
        <v>3734.7</v>
      </c>
      <c r="R89">
        <v>3408.9</v>
      </c>
      <c r="S89">
        <v>2598</v>
      </c>
      <c r="T89">
        <v>1740.6</v>
      </c>
    </row>
    <row r="90" xml:space="preserve">
      <c r="A90" t="str">
        <v>Item Code</v>
      </c>
      <c r="B90" t="str">
        <v>Item</v>
      </c>
      <c r="C90" t="str">
        <v>Unit</v>
      </c>
      <c r="D90" t="str" xml:space="preserve">
        <v xml:space="preserve">Tuesday_x000d__x000d_
14-Jul-26</v>
      </c>
      <c r="E90" t="str" xml:space="preserve">
        <v xml:space="preserve">Wednesday_x000d__x000d_
15-Jul-26</v>
      </c>
      <c r="F90" t="str" xml:space="preserve">
        <v xml:space="preserve">Thursday_x000d__x000d_
16-Jul-26</v>
      </c>
      <c r="G90" t="str" xml:space="preserve">
        <v xml:space="preserve">Friday_x000d__x000d_
17-Jul-26</v>
      </c>
      <c r="H90" t="str" xml:space="preserve">
        <v xml:space="preserve">Saturday_x000d__x000d_
18-Jul-26</v>
      </c>
      <c r="I90" t="str" xml:space="preserve">
        <v xml:space="preserve">Sunday_x000d__x000d_
19-Jul-26</v>
      </c>
      <c r="J90" t="str" xml:space="preserve">
        <v xml:space="preserve">Monday_x000d__x000d_
20-Jul-26</v>
      </c>
      <c r="K90">
        <v>38358</v>
      </c>
      <c r="L90" t="str">
        <v>TB MEXICAN RICE (FINISHED PRODUCT)</v>
      </c>
      <c r="M90" t="str">
        <v>GRAM-1GM</v>
      </c>
      <c r="N90">
        <v>5687.5</v>
      </c>
      <c r="O90">
        <v>6058.5</v>
      </c>
      <c r="P90">
        <v>6604.5</v>
      </c>
      <c r="Q90">
        <v>9638.5</v>
      </c>
      <c r="R90">
        <v>9086.5</v>
      </c>
      <c r="S90">
        <v>7577.5</v>
      </c>
      <c r="T90">
        <v>4336.5</v>
      </c>
    </row>
    <row r="91" xml:space="preserve">
      <c r="A91" t="str">
        <v>Item Code</v>
      </c>
      <c r="B91" t="str">
        <v>Item</v>
      </c>
      <c r="C91" t="str">
        <v>Unit</v>
      </c>
      <c r="D91" t="str" xml:space="preserve">
        <v xml:space="preserve">Tuesday_x000d__x000d_
14-Jul-26</v>
      </c>
      <c r="E91" t="str" xml:space="preserve">
        <v xml:space="preserve">Wednesday_x000d__x000d_
15-Jul-26</v>
      </c>
      <c r="F91" t="str" xml:space="preserve">
        <v xml:space="preserve">Thursday_x000d__x000d_
16-Jul-26</v>
      </c>
      <c r="G91" t="str" xml:space="preserve">
        <v xml:space="preserve">Friday_x000d__x000d_
17-Jul-26</v>
      </c>
      <c r="H91" t="str" xml:space="preserve">
        <v xml:space="preserve">Saturday_x000d__x000d_
18-Jul-26</v>
      </c>
      <c r="I91" t="str" xml:space="preserve">
        <v xml:space="preserve">Sunday_x000d__x000d_
19-Jul-26</v>
      </c>
      <c r="J91" t="str" xml:space="preserve">
        <v xml:space="preserve">Monday_x000d__x000d_
20-Jul-26</v>
      </c>
      <c r="K91">
        <v>38372</v>
      </c>
      <c r="L91" t="str">
        <v>TB TACO SHELLS (FINISHED PRODUCT)</v>
      </c>
      <c r="M91" t="str">
        <v>EACH</v>
      </c>
      <c r="N91">
        <v>130</v>
      </c>
      <c r="O91">
        <v>174</v>
      </c>
      <c r="P91">
        <v>176</v>
      </c>
      <c r="Q91">
        <v>288</v>
      </c>
      <c r="R91">
        <v>254</v>
      </c>
      <c r="S91">
        <v>210</v>
      </c>
      <c r="T91">
        <v>153</v>
      </c>
    </row>
    <row r="92" xml:space="preserve">
      <c r="A92" t="str">
        <v>Item Code</v>
      </c>
      <c r="B92" t="str">
        <v>Item</v>
      </c>
      <c r="C92" t="str">
        <v>Unit</v>
      </c>
      <c r="D92" t="str" xml:space="preserve">
        <v xml:space="preserve">Tuesday_x000d__x000d_
14-Jul-26</v>
      </c>
      <c r="E92" t="str" xml:space="preserve">
        <v xml:space="preserve">Wednesday_x000d__x000d_
15-Jul-26</v>
      </c>
      <c r="F92" t="str" xml:space="preserve">
        <v xml:space="preserve">Thursday_x000d__x000d_
16-Jul-26</v>
      </c>
      <c r="G92" t="str" xml:space="preserve">
        <v xml:space="preserve">Friday_x000d__x000d_
17-Jul-26</v>
      </c>
      <c r="H92" t="str" xml:space="preserve">
        <v xml:space="preserve">Saturday_x000d__x000d_
18-Jul-26</v>
      </c>
      <c r="I92" t="str" xml:space="preserve">
        <v xml:space="preserve">Sunday_x000d__x000d_
19-Jul-26</v>
      </c>
      <c r="J92" t="str" xml:space="preserve">
        <v xml:space="preserve">Monday_x000d__x000d_
20-Jul-26</v>
      </c>
      <c r="K92">
        <v>38377</v>
      </c>
      <c r="L92" t="str">
        <v>TB TOMATO DICED (FINISHED PRODUCT)</v>
      </c>
      <c r="M92" t="str">
        <v>GRAM-1GM</v>
      </c>
      <c r="N92">
        <v>1232</v>
      </c>
      <c r="O92">
        <v>1974</v>
      </c>
      <c r="P92">
        <v>1876</v>
      </c>
      <c r="Q92">
        <v>2240</v>
      </c>
      <c r="R92">
        <v>2702</v>
      </c>
      <c r="S92">
        <v>2618</v>
      </c>
      <c r="T92">
        <v>1820</v>
      </c>
    </row>
    <row r="93" xml:space="preserve">
      <c r="A93" t="str">
        <v>Item Code</v>
      </c>
      <c r="B93" t="str">
        <v>Item</v>
      </c>
      <c r="C93" t="str">
        <v>Unit</v>
      </c>
      <c r="D93" t="str" xml:space="preserve">
        <v xml:space="preserve">Tuesday_x000d__x000d_
14-Jul-26</v>
      </c>
      <c r="E93" t="str" xml:space="preserve">
        <v xml:space="preserve">Wednesday_x000d__x000d_
15-Jul-26</v>
      </c>
      <c r="F93" t="str" xml:space="preserve">
        <v xml:space="preserve">Thursday_x000d__x000d_
16-Jul-26</v>
      </c>
      <c r="G93" t="str" xml:space="preserve">
        <v xml:space="preserve">Friday_x000d__x000d_
17-Jul-26</v>
      </c>
      <c r="H93" t="str" xml:space="preserve">
        <v xml:space="preserve">Saturday_x000d__x000d_
18-Jul-26</v>
      </c>
      <c r="I93" t="str" xml:space="preserve">
        <v xml:space="preserve">Sunday_x000d__x000d_
19-Jul-26</v>
      </c>
      <c r="J93" t="str" xml:space="preserve">
        <v xml:space="preserve">Monday_x000d__x000d_
20-Jul-26</v>
      </c>
      <c r="K93">
        <v>38295</v>
      </c>
      <c r="L93" t="str">
        <v>TB TOSTADA (FINISHED PRODUCT)</v>
      </c>
      <c r="M93" t="str">
        <v>EACH</v>
      </c>
      <c r="N93">
        <v>65</v>
      </c>
      <c r="O93">
        <v>97</v>
      </c>
      <c r="P93">
        <v>89</v>
      </c>
      <c r="Q93">
        <v>122</v>
      </c>
      <c r="R93">
        <v>125</v>
      </c>
      <c r="S93">
        <v>133</v>
      </c>
      <c r="T93">
        <v>73</v>
      </c>
    </row>
    <row r="94" xml:space="preserve">
      <c r="A94" t="str">
        <v>Item Code</v>
      </c>
      <c r="B94" t="str">
        <v>Item</v>
      </c>
      <c r="C94" t="str">
        <v>Unit</v>
      </c>
      <c r="D94" t="str" xml:space="preserve">
        <v xml:space="preserve">Tuesday_x000d__x000d_
14-Jul-26</v>
      </c>
      <c r="E94" t="str" xml:space="preserve">
        <v xml:space="preserve">Wednesday_x000d__x000d_
15-Jul-26</v>
      </c>
      <c r="F94" t="str" xml:space="preserve">
        <v xml:space="preserve">Thursday_x000d__x000d_
16-Jul-26</v>
      </c>
      <c r="G94" t="str" xml:space="preserve">
        <v xml:space="preserve">Friday_x000d__x000d_
17-Jul-26</v>
      </c>
      <c r="H94" t="str" xml:space="preserve">
        <v xml:space="preserve">Saturday_x000d__x000d_
18-Jul-26</v>
      </c>
      <c r="I94" t="str" xml:space="preserve">
        <v xml:space="preserve">Sunday_x000d__x000d_
19-Jul-26</v>
      </c>
      <c r="J94" t="str" xml:space="preserve">
        <v xml:space="preserve">Monday_x000d__x000d_
20-Jul-26</v>
      </c>
      <c r="K94">
        <v>15112</v>
      </c>
      <c r="L94" t="str">
        <v>TOMATO DICED</v>
      </c>
      <c r="M94" t="str">
        <v>CARTON-4x1KG</v>
      </c>
      <c r="N94">
        <v>0.95</v>
      </c>
      <c r="O94">
        <v>1.12</v>
      </c>
      <c r="P94">
        <v>1.12</v>
      </c>
      <c r="Q94">
        <v>1.47</v>
      </c>
      <c r="R94">
        <v>1.55</v>
      </c>
      <c r="S94">
        <v>1.41</v>
      </c>
      <c r="T94">
        <v>0.93</v>
      </c>
    </row>
    <row r="95" xml:space="preserve">
      <c r="A95" t="str">
        <v>Item Code</v>
      </c>
      <c r="B95" t="str">
        <v>Item</v>
      </c>
      <c r="C95" t="str">
        <v>Unit</v>
      </c>
      <c r="D95" t="str" xml:space="preserve">
        <v xml:space="preserve">Tuesday_x000d__x000d_
14-Jul-26</v>
      </c>
      <c r="E95" t="str" xml:space="preserve">
        <v xml:space="preserve">Wednesday_x000d__x000d_
15-Jul-26</v>
      </c>
      <c r="F95" t="str" xml:space="preserve">
        <v xml:space="preserve">Thursday_x000d__x000d_
16-Jul-26</v>
      </c>
      <c r="G95" t="str" xml:space="preserve">
        <v xml:space="preserve">Friday_x000d__x000d_
17-Jul-26</v>
      </c>
      <c r="H95" t="str" xml:space="preserve">
        <v xml:space="preserve">Saturday_x000d__x000d_
18-Jul-26</v>
      </c>
      <c r="I95" t="str" xml:space="preserve">
        <v xml:space="preserve">Sunday_x000d__x000d_
19-Jul-26</v>
      </c>
      <c r="J95" t="str" xml:space="preserve">
        <v xml:space="preserve">Monday_x000d__x000d_
20-Jul-26</v>
      </c>
      <c r="K95">
        <v>37891</v>
      </c>
      <c r="L95" t="str">
        <v>TORTILLA CORN 6 INCH</v>
      </c>
      <c r="M95" t="str">
        <v>CARTON-12x36</v>
      </c>
      <c r="N95">
        <v>0.45</v>
      </c>
      <c r="O95">
        <v>0.63</v>
      </c>
      <c r="P95">
        <v>0.61</v>
      </c>
      <c r="Q95">
        <v>0.95</v>
      </c>
      <c r="R95">
        <v>0.88</v>
      </c>
      <c r="S95">
        <v>0.79</v>
      </c>
      <c r="T95">
        <v>0.52</v>
      </c>
    </row>
    <row r="96" xml:space="preserve">
      <c r="A96" t="str">
        <v>Item Code</v>
      </c>
      <c r="B96" t="str">
        <v>Item</v>
      </c>
      <c r="C96" t="str">
        <v>Unit</v>
      </c>
      <c r="D96" t="str" xml:space="preserve">
        <v xml:space="preserve">Tuesday_x000d__x000d_
14-Jul-26</v>
      </c>
      <c r="E96" t="str" xml:space="preserve">
        <v xml:space="preserve">Wednesday_x000d__x000d_
15-Jul-26</v>
      </c>
      <c r="F96" t="str" xml:space="preserve">
        <v xml:space="preserve">Thursday_x000d__x000d_
16-Jul-26</v>
      </c>
      <c r="G96" t="str" xml:space="preserve">
        <v xml:space="preserve">Friday_x000d__x000d_
17-Jul-26</v>
      </c>
      <c r="H96" t="str" xml:space="preserve">
        <v xml:space="preserve">Saturday_x000d__x000d_
18-Jul-26</v>
      </c>
      <c r="I96" t="str" xml:space="preserve">
        <v xml:space="preserve">Sunday_x000d__x000d_
19-Jul-26</v>
      </c>
      <c r="J96" t="str" xml:space="preserve">
        <v xml:space="preserve">Monday_x000d__x000d_
20-Jul-26</v>
      </c>
      <c r="K96">
        <v>37923</v>
      </c>
      <c r="L96" t="str">
        <v>TORTILLA FLOUR 10.25INCH</v>
      </c>
      <c r="M96" t="str">
        <v>CARTON-12x12</v>
      </c>
      <c r="N96">
        <v>0.8</v>
      </c>
      <c r="O96">
        <v>1.09</v>
      </c>
      <c r="P96">
        <v>1.05</v>
      </c>
      <c r="Q96">
        <v>1.34</v>
      </c>
      <c r="R96">
        <v>1.45</v>
      </c>
      <c r="S96">
        <v>1.19</v>
      </c>
      <c r="T96">
        <v>0.7</v>
      </c>
    </row>
    <row r="97" xml:space="preserve">
      <c r="A97" t="str">
        <v>Item Code</v>
      </c>
      <c r="B97" t="str">
        <v>Item</v>
      </c>
      <c r="C97" t="str">
        <v>Unit</v>
      </c>
      <c r="D97" t="str" xml:space="preserve">
        <v xml:space="preserve">Tuesday_x000d__x000d_
14-Jul-26</v>
      </c>
      <c r="E97" t="str" xml:space="preserve">
        <v xml:space="preserve">Wednesday_x000d__x000d_
15-Jul-26</v>
      </c>
      <c r="F97" t="str" xml:space="preserve">
        <v xml:space="preserve">Thursday_x000d__x000d_
16-Jul-26</v>
      </c>
      <c r="G97" t="str" xml:space="preserve">
        <v xml:space="preserve">Friday_x000d__x000d_
17-Jul-26</v>
      </c>
      <c r="H97" t="str" xml:space="preserve">
        <v xml:space="preserve">Saturday_x000d__x000d_
18-Jul-26</v>
      </c>
      <c r="I97" t="str" xml:space="preserve">
        <v xml:space="preserve">Sunday_x000d__x000d_
19-Jul-26</v>
      </c>
      <c r="J97" t="str" xml:space="preserve">
        <v xml:space="preserve">Monday_x000d__x000d_
20-Jul-26</v>
      </c>
      <c r="K97">
        <v>37925</v>
      </c>
      <c r="L97" t="str">
        <v>TORTILLA FLOUR 12INCH</v>
      </c>
      <c r="M97" t="str">
        <v>CARTON-12x12</v>
      </c>
      <c r="N97">
        <v>0.64</v>
      </c>
      <c r="O97">
        <v>0.88</v>
      </c>
      <c r="P97">
        <v>0.83</v>
      </c>
      <c r="Q97">
        <v>1.26</v>
      </c>
      <c r="R97">
        <v>1.18</v>
      </c>
      <c r="S97">
        <v>1.21</v>
      </c>
      <c r="T97">
        <v>0.62</v>
      </c>
    </row>
    <row r="98" xml:space="preserve">
      <c r="A98" t="str">
        <v>Item Code</v>
      </c>
      <c r="B98" t="str">
        <v>Item</v>
      </c>
      <c r="C98" t="str">
        <v>Unit</v>
      </c>
      <c r="D98" t="str" xml:space="preserve">
        <v xml:space="preserve">Tuesday_x000d__x000d_
14-Jul-26</v>
      </c>
      <c r="E98" t="str" xml:space="preserve">
        <v xml:space="preserve">Wednesday_x000d__x000d_
15-Jul-26</v>
      </c>
      <c r="F98" t="str" xml:space="preserve">
        <v xml:space="preserve">Thursday_x000d__x000d_
16-Jul-26</v>
      </c>
      <c r="G98" t="str" xml:space="preserve">
        <v xml:space="preserve">Friday_x000d__x000d_
17-Jul-26</v>
      </c>
      <c r="H98" t="str" xml:space="preserve">
        <v xml:space="preserve">Saturday_x000d__x000d_
18-Jul-26</v>
      </c>
      <c r="I98" t="str" xml:space="preserve">
        <v xml:space="preserve">Sunday_x000d__x000d_
19-Jul-26</v>
      </c>
      <c r="J98" t="str" xml:space="preserve">
        <v xml:space="preserve">Monday_x000d__x000d_
20-Jul-26</v>
      </c>
      <c r="K98">
        <v>37927</v>
      </c>
      <c r="L98" t="str">
        <v>TORTILLA FLOUR 6.5INCH</v>
      </c>
      <c r="M98" t="str">
        <v>CARTON-24x12</v>
      </c>
      <c r="N98">
        <v>0.22</v>
      </c>
      <c r="O98">
        <v>0.32</v>
      </c>
      <c r="P98">
        <v>0.28</v>
      </c>
      <c r="Q98">
        <v>0.34</v>
      </c>
      <c r="R98">
        <v>0.44</v>
      </c>
      <c r="S98">
        <v>0.42</v>
      </c>
      <c r="T98">
        <v>0.22</v>
      </c>
    </row>
    <row r="99" xml:space="preserve">
      <c r="A99" t="str">
        <v>Item Code</v>
      </c>
      <c r="B99" t="str">
        <v>Item</v>
      </c>
      <c r="C99" t="str">
        <v>Unit</v>
      </c>
      <c r="D99" t="str" xml:space="preserve">
        <v xml:space="preserve">Tuesday_x000d__x000d_
14-Jul-26</v>
      </c>
      <c r="E99" t="str" xml:space="preserve">
        <v xml:space="preserve">Wednesday_x000d__x000d_
15-Jul-26</v>
      </c>
      <c r="F99" t="str" xml:space="preserve">
        <v xml:space="preserve">Thursday_x000d__x000d_
16-Jul-26</v>
      </c>
      <c r="G99" t="str" xml:space="preserve">
        <v xml:space="preserve">Friday_x000d__x000d_
17-Jul-26</v>
      </c>
      <c r="H99" t="str" xml:space="preserve">
        <v xml:space="preserve">Saturday_x000d__x000d_
18-Jul-26</v>
      </c>
      <c r="I99" t="str" xml:space="preserve">
        <v xml:space="preserve">Sunday_x000d__x000d_
19-Jul-26</v>
      </c>
      <c r="J99" t="str" xml:space="preserve">
        <v xml:space="preserve">Monday_x000d__x000d_
20-Jul-26</v>
      </c>
      <c r="K99">
        <v>13529</v>
      </c>
      <c r="L99" t="str">
        <v>TRAYS DRINKS 4 CUP</v>
      </c>
      <c r="M99" t="str">
        <v>CARTON-100</v>
      </c>
      <c r="N99">
        <v>0.06</v>
      </c>
      <c r="O99">
        <v>0.06</v>
      </c>
      <c r="P99">
        <v>0.13</v>
      </c>
      <c r="Q99">
        <v>0.22</v>
      </c>
      <c r="R99">
        <v>0.15</v>
      </c>
      <c r="S99">
        <v>0.15</v>
      </c>
      <c r="T99">
        <v>0.12</v>
      </c>
    </row>
    <row r="100" xml:space="preserve">
      <c r="A100" t="str">
        <v>Item Code</v>
      </c>
      <c r="B100" t="str">
        <v>Item</v>
      </c>
      <c r="C100" t="str">
        <v>Unit</v>
      </c>
      <c r="D100" t="str" xml:space="preserve">
        <v xml:space="preserve">Tuesday_x000d__x000d_
14-Jul-26</v>
      </c>
      <c r="E100" t="str" xml:space="preserve">
        <v xml:space="preserve">Wednesday_x000d__x000d_
15-Jul-26</v>
      </c>
      <c r="F100" t="str" xml:space="preserve">
        <v xml:space="preserve">Thursday_x000d__x000d_
16-Jul-26</v>
      </c>
      <c r="G100" t="str" xml:space="preserve">
        <v xml:space="preserve">Friday_x000d__x000d_
17-Jul-26</v>
      </c>
      <c r="H100" t="str" xml:space="preserve">
        <v xml:space="preserve">Saturday_x000d__x000d_
18-Jul-26</v>
      </c>
      <c r="I100" t="str" xml:space="preserve">
        <v xml:space="preserve">Sunday_x000d__x000d_
19-Jul-26</v>
      </c>
      <c r="J100" t="str" xml:space="preserve">
        <v xml:space="preserve">Monday_x000d__x000d_
20-Jul-26</v>
      </c>
      <c r="K100">
        <v>39769</v>
      </c>
      <c r="L100" t="str">
        <v>WOODEN FORK</v>
      </c>
      <c r="M100" t="str">
        <v>CARTON-1000</v>
      </c>
      <c r="N100">
        <v>0.04</v>
      </c>
      <c r="O100">
        <v>0.03</v>
      </c>
      <c r="P100">
        <v>0.03</v>
      </c>
      <c r="Q100">
        <v>0.05</v>
      </c>
      <c r="R100">
        <v>0.05</v>
      </c>
      <c r="S100">
        <v>0.03</v>
      </c>
      <c r="T100">
        <v>0.02</v>
      </c>
    </row>
    <row r="101" xml:space="preserve">
      <c r="A101" t="str">
        <v>Item Code</v>
      </c>
      <c r="B101" t="str">
        <v>Item</v>
      </c>
      <c r="C101" t="str">
        <v>Unit</v>
      </c>
      <c r="D101" t="str" xml:space="preserve">
        <v xml:space="preserve">Tuesday_x000d__x000d_
14-Jul-26</v>
      </c>
      <c r="E101" t="str" xml:space="preserve">
        <v xml:space="preserve">Wednesday_x000d__x000d_
15-Jul-26</v>
      </c>
      <c r="F101" t="str" xml:space="preserve">
        <v xml:space="preserve">Thursday_x000d__x000d_
16-Jul-26</v>
      </c>
      <c r="G101" t="str" xml:space="preserve">
        <v xml:space="preserve">Friday_x000d__x000d_
17-Jul-26</v>
      </c>
      <c r="H101" t="str" xml:space="preserve">
        <v xml:space="preserve">Saturday_x000d__x000d_
18-Jul-26</v>
      </c>
      <c r="I101" t="str" xml:space="preserve">
        <v xml:space="preserve">Sunday_x000d__x000d_
19-Jul-26</v>
      </c>
      <c r="J101" t="str" xml:space="preserve">
        <v xml:space="preserve">Monday_x000d__x000d_
20-Jul-26</v>
      </c>
      <c r="K101">
        <v>37901</v>
      </c>
      <c r="L101" t="str">
        <v>WRAP LARGE WHITE PRINTED</v>
      </c>
      <c r="M101" t="str">
        <v>CARTON-3000</v>
      </c>
      <c r="N101">
        <v>0.07</v>
      </c>
      <c r="O101">
        <v>0.09</v>
      </c>
      <c r="P101">
        <v>0.09</v>
      </c>
      <c r="Q101">
        <v>0.13</v>
      </c>
      <c r="R101">
        <v>0.13</v>
      </c>
      <c r="S101">
        <v>0.11</v>
      </c>
      <c r="T101">
        <v>0.06</v>
      </c>
    </row>
    <row r="102" xml:space="preserve">
      <c r="A102" t="str">
        <v>Item Code</v>
      </c>
      <c r="B102" t="str">
        <v>Item</v>
      </c>
      <c r="C102" t="str">
        <v>Unit</v>
      </c>
      <c r="D102" t="str" xml:space="preserve">
        <v xml:space="preserve">Tuesday_x000d__x000d_
14-Jul-26</v>
      </c>
      <c r="E102" t="str" xml:space="preserve">
        <v xml:space="preserve">Wednesday_x000d__x000d_
15-Jul-26</v>
      </c>
      <c r="F102" t="str" xml:space="preserve">
        <v xml:space="preserve">Thursday_x000d__x000d_
16-Jul-26</v>
      </c>
      <c r="G102" t="str" xml:space="preserve">
        <v xml:space="preserve">Friday_x000d__x000d_
17-Jul-26</v>
      </c>
      <c r="H102" t="str" xml:space="preserve">
        <v xml:space="preserve">Saturday_x000d__x000d_
18-Jul-26</v>
      </c>
      <c r="I102" t="str" xml:space="preserve">
        <v xml:space="preserve">Sunday_x000d__x000d_
19-Jul-26</v>
      </c>
      <c r="J102" t="str" xml:space="preserve">
        <v xml:space="preserve">Monday_x000d__x000d_
20-Jul-26</v>
      </c>
      <c r="K102">
        <v>37921</v>
      </c>
      <c r="L102" t="str">
        <v>WRAP SMALL WHITE PRINTED</v>
      </c>
      <c r="M102" t="str">
        <v>CARTON-3000</v>
      </c>
      <c r="N102">
        <v>0.04</v>
      </c>
      <c r="O102">
        <v>0.06</v>
      </c>
      <c r="P102">
        <v>0.06</v>
      </c>
      <c r="Q102">
        <v>0.08</v>
      </c>
      <c r="R102">
        <v>0.08</v>
      </c>
      <c r="S102">
        <v>0.07</v>
      </c>
      <c r="T102">
        <v>0.05</v>
      </c>
    </row>
    <row r="103" xml:space="preserve">
      <c r="A103" t="str">
        <v>Item Code</v>
      </c>
      <c r="B103" t="str">
        <v>Item</v>
      </c>
      <c r="C103" t="str">
        <v>Unit</v>
      </c>
      <c r="D103" t="str" xml:space="preserve">
        <v xml:space="preserve">Tuesday_x000d__x000d_
14-Jul-26</v>
      </c>
      <c r="E103" t="str" xml:space="preserve">
        <v xml:space="preserve">Wednesday_x000d__x000d_
15-Jul-26</v>
      </c>
      <c r="F103" t="str" xml:space="preserve">
        <v xml:space="preserve">Thursday_x000d__x000d_
16-Jul-26</v>
      </c>
      <c r="G103" t="str" xml:space="preserve">
        <v xml:space="preserve">Friday_x000d__x000d_
17-Jul-26</v>
      </c>
      <c r="H103" t="str" xml:space="preserve">
        <v xml:space="preserve">Saturday_x000d__x000d_
18-Jul-26</v>
      </c>
      <c r="I103" t="str" xml:space="preserve">
        <v xml:space="preserve">Sunday_x000d__x000d_
19-Jul-26</v>
      </c>
      <c r="J103" t="str" xml:space="preserve">
        <v xml:space="preserve">Monday_x000d__x000d_
20-Jul-26</v>
      </c>
      <c r="K103">
        <v>37999</v>
      </c>
      <c r="L103" t="str">
        <v>WRAP WASTE WHITE UNPRINTED</v>
      </c>
      <c r="M103" t="str">
        <v>CARTON-5x1000</v>
      </c>
      <c r="N103">
        <v>0.08</v>
      </c>
      <c r="O103">
        <v>0.1</v>
      </c>
      <c r="P103">
        <v>0.1</v>
      </c>
      <c r="Q103">
        <v>0.14</v>
      </c>
      <c r="R103">
        <v>0.14</v>
      </c>
      <c r="S103">
        <v>0.13</v>
      </c>
      <c r="T103">
        <v>0.07</v>
      </c>
    </row>
  </sheetData>
  <pageMargins left="0.7" right="0.7" top="0.75" bottom="0.75" header="0.3" footer="0.3"/>
  <ignoredErrors>
    <ignoredError numberStoredAsText="1" sqref="A1:T15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ITEM</v>
      </c>
      <c r="B1" t="str">
        <v>VENDOR</v>
      </c>
      <c r="C1" t="str">
        <v>TYPE</v>
      </c>
      <c r="D1" t="str">
        <v>COUNT</v>
      </c>
      <c r="E1" t="str">
        <v>DAILY</v>
      </c>
      <c r="F1" t="str">
        <v>DAYS</v>
      </c>
      <c r="G1" t="str">
        <v>BUFFER</v>
      </c>
      <c r="H1" t="str">
        <v>FIXED</v>
      </c>
      <c r="I1" t="str">
        <v>WARN</v>
      </c>
    </row>
    <row r="2">
      <c r="A2" t="str">
        <v>Example item</v>
      </c>
      <c r="B2" t="str">
        <v>Americold</v>
      </c>
      <c r="C2" t="str">
        <v>Days</v>
      </c>
      <c r="D2" t="str">
        <v>TRUE</v>
      </c>
      <c r="E2" t="str">
        <v>FALSE</v>
      </c>
      <c r="F2">
        <v>10</v>
      </c>
      <c r="G2">
        <v>0</v>
      </c>
      <c r="H2" t="str">
        <v/>
      </c>
      <c r="I2">
        <v>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WEEKLY PREP GUIDES</vt:lpstr>
      <vt:lpstr>DRY</vt:lpstr>
      <vt:lpstr>FRIDGE &amp; FREEZER</vt:lpstr>
      <vt:lpstr>SCHWEPPES</vt:lpstr>
      <vt:lpstr>BEGA</vt:lpstr>
      <vt:lpstr>CUTFRESH</vt:lpstr>
      <vt:lpstr>STOCK ON HAND</vt:lpstr>
      <vt:lpstr>STOCK ON ORDER</vt:lpstr>
      <vt:lpstr>AC and RGM only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2026-04-29T03:49:01Z</dcterms:created>
  <dcterms:modified xsi:type="dcterms:W3CDTF">2026-07-23T01:35:43Z</dcterms:modified>
  <cp:lastModifiedBy>Ashley Owens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16b5b5-d79a-417f-9b42-aeb6bb8f4256_Enabled">
    <vt:lpwstr>true</vt:lpwstr>
  </property>
  <property fmtid="{D5CDD505-2E9C-101B-9397-08002B2CF9AE}" pid="3" name="MSIP_Label_1716b5b5-d79a-417f-9b42-aeb6bb8f4256_SetDate">
    <vt:lpwstr>2026-04-29T03:53:31Z</vt:lpwstr>
  </property>
  <property fmtid="{D5CDD505-2E9C-101B-9397-08002B2CF9AE}" pid="4" name="MSIP_Label_1716b5b5-d79a-417f-9b42-aeb6bb8f4256_Method">
    <vt:lpwstr>Privileged</vt:lpwstr>
  </property>
  <property fmtid="{D5CDD505-2E9C-101B-9397-08002B2CF9AE}" pid="5" name="MSIP_Label_1716b5b5-d79a-417f-9b42-aeb6bb8f4256_Name">
    <vt:lpwstr>Internal</vt:lpwstr>
  </property>
  <property fmtid="{D5CDD505-2E9C-101B-9397-08002B2CF9AE}" pid="6" name="MSIP_Label_1716b5b5-d79a-417f-9b42-aeb6bb8f4256_SiteId">
    <vt:lpwstr>34bdcafe-1af1-4c1d-91c3-47ac4cd39329</vt:lpwstr>
  </property>
  <property fmtid="{D5CDD505-2E9C-101B-9397-08002B2CF9AE}" pid="7" name="MSIP_Label_1716b5b5-d79a-417f-9b42-aeb6bb8f4256_ActionId">
    <vt:lpwstr>bcec3872-fd26-4298-8742-491748191851</vt:lpwstr>
  </property>
  <property fmtid="{D5CDD505-2E9C-101B-9397-08002B2CF9AE}" pid="8" name="MSIP_Label_1716b5b5-d79a-417f-9b42-aeb6bb8f4256_ContentBits">
    <vt:lpwstr>2</vt:lpwstr>
  </property>
  <property fmtid="{D5CDD505-2E9C-101B-9397-08002B2CF9AE}" pid="9" name="MSIP_Label_1716b5b5-d79a-417f-9b42-aeb6bb8f4256_Tag">
    <vt:lpwstr>10, 0, 1, 2</vt:lpwstr>
  </property>
  <property fmtid="{D5CDD505-2E9C-101B-9397-08002B2CF9AE}" pid="10" name="ContentTypeId">
    <vt:lpwstr>0x0101006660C1D8B038E54897F4D5C940C02B12</vt:lpwstr>
  </property>
  <property fmtid="{D5CDD505-2E9C-101B-9397-08002B2CF9AE}" pid="11" name="MediaServiceImageTags">
    <vt:lpwstr/>
  </property>
</Properties>
</file>