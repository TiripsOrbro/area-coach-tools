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collinsfoods.sharepoint.com/sites/team_taco/Shared Documents/06.0 OPERATIONS/6.2 Area Coach/6.24 Area 22/I) Prep Guides/"/>
    </mc:Choice>
  </mc:AlternateContent>
  <xr:revisionPtr revIDLastSave="2505" documentId="8_{9DE2729C-450A-4C81-9FE6-9EEE06A5B695}" xr6:coauthVersionLast="47" xr6:coauthVersionMax="47" xr10:uidLastSave="{9C7F9093-1AAC-4221-804E-FC867F447E88}"/>
  <bookViews>
    <workbookView xWindow="28680" yWindow="-120" windowWidth="29040" windowHeight="15840" firstSheet="8" activeTab="8" xr2:uid="{7F52B8A0-04F8-4329-8672-AA08F8F15E5D}"/>
  </bookViews>
  <sheets>
    <sheet name="ISE" sheetId="1" state="hidden" r:id="rId1"/>
    <sheet name="ISE Average" sheetId="10" r:id="rId2"/>
    <sheet name="Calculations" sheetId="2" state="hidden" r:id="rId3"/>
    <sheet name="Sales" sheetId="11" r:id="rId4"/>
    <sheet name="Sheet1" sheetId="8" state="hidden" r:id="rId5"/>
    <sheet name="Product Block Sales" sheetId="3" state="hidden" r:id="rId6"/>
    <sheet name="Prep Simplified" sheetId="6" state="hidden" r:id="rId7"/>
    <sheet name="Prep Guide Calculations" sheetId="4" state="hidden" r:id="rId8"/>
    <sheet name="Prep Guide" sheetId="7" r:id="rId9"/>
    <sheet name="Weekly Forecast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4" l="1"/>
  <c r="B4" i="4"/>
  <c r="B4" i="7" s="1"/>
  <c r="U7" i="2" a="1"/>
  <c r="U7" i="2"/>
  <c r="V7" i="2" a="1"/>
  <c r="V7" i="2"/>
  <c r="W7" i="2" a="1"/>
  <c r="W7" i="2"/>
  <c r="X7" i="2" a="1"/>
  <c r="X7" i="2"/>
  <c r="Y7" i="2" a="1"/>
  <c r="Y7" i="2"/>
  <c r="Z7" i="2" a="1"/>
  <c r="Z7" i="2"/>
  <c r="AA7" i="2" a="1"/>
  <c r="AA7" i="2"/>
  <c r="U8" i="2" a="1"/>
  <c r="U8" i="2"/>
  <c r="V8" i="2" a="1"/>
  <c r="V8" i="2"/>
  <c r="W8" i="2" a="1"/>
  <c r="W8" i="2"/>
  <c r="X8" i="2" a="1"/>
  <c r="X8" i="2"/>
  <c r="Y8" i="2" a="1"/>
  <c r="Y8" i="2"/>
  <c r="Z8" i="2" a="1"/>
  <c r="Z8" i="2"/>
  <c r="AA8" i="2" a="1"/>
  <c r="AA8" i="2"/>
  <c r="U9" i="2" a="1"/>
  <c r="U9" i="2"/>
  <c r="V9" i="2" a="1"/>
  <c r="V9" i="2"/>
  <c r="W9" i="2" a="1"/>
  <c r="W9" i="2"/>
  <c r="X9" i="2" a="1"/>
  <c r="X9" i="2"/>
  <c r="Y9" i="2" a="1"/>
  <c r="Y9" i="2"/>
  <c r="Z9" i="2" a="1"/>
  <c r="Z9" i="2"/>
  <c r="AA9" i="2" a="1"/>
  <c r="AA9" i="2"/>
  <c r="U10" i="2" a="1"/>
  <c r="U10" i="2"/>
  <c r="V10" i="2" a="1"/>
  <c r="V10" i="2"/>
  <c r="W10" i="2" a="1"/>
  <c r="W10" i="2"/>
  <c r="X10" i="2" a="1"/>
  <c r="X10" i="2"/>
  <c r="Y10" i="2" a="1"/>
  <c r="Y10" i="2"/>
  <c r="Z10" i="2" a="1"/>
  <c r="Z10" i="2"/>
  <c r="AA10" i="2" a="1"/>
  <c r="AA10" i="2"/>
  <c r="U11" i="2" a="1"/>
  <c r="U11" i="2"/>
  <c r="V11" i="2" a="1"/>
  <c r="V11" i="2"/>
  <c r="W11" i="2" a="1"/>
  <c r="W11" i="2"/>
  <c r="X11" i="2" a="1"/>
  <c r="X11" i="2"/>
  <c r="Y11" i="2" a="1"/>
  <c r="Y11" i="2"/>
  <c r="Z11" i="2" a="1"/>
  <c r="Z11" i="2"/>
  <c r="AA11" i="2" a="1"/>
  <c r="AA11" i="2"/>
  <c r="C15" i="2"/>
  <c r="D15" i="2"/>
  <c r="E15" i="2"/>
  <c r="F15" i="2"/>
  <c r="G15" i="2"/>
  <c r="H15" i="2"/>
  <c r="I15" i="2"/>
  <c r="C16" i="2"/>
  <c r="D16" i="2"/>
  <c r="E16" i="2"/>
  <c r="F16" i="2"/>
  <c r="G16" i="2"/>
  <c r="H16" i="2"/>
  <c r="I16" i="2"/>
  <c r="C17" i="2"/>
  <c r="D17" i="2"/>
  <c r="E17" i="2"/>
  <c r="F17" i="2"/>
  <c r="G17" i="2"/>
  <c r="H17" i="2"/>
  <c r="I17" i="2"/>
  <c r="C18" i="2"/>
  <c r="D18" i="2"/>
  <c r="E18" i="2"/>
  <c r="F18" i="2"/>
  <c r="G18" i="2"/>
  <c r="H18" i="2"/>
  <c r="I18" i="2"/>
  <c r="C19" i="2"/>
  <c r="D19" i="2"/>
  <c r="E19" i="2"/>
  <c r="F19" i="2"/>
  <c r="G19" i="2"/>
  <c r="H19" i="2"/>
  <c r="I19" i="2"/>
  <c r="C20" i="2"/>
  <c r="D20" i="2"/>
  <c r="E20" i="2"/>
  <c r="F20" i="2"/>
  <c r="G20" i="2"/>
  <c r="H20" i="2"/>
  <c r="I20" i="2"/>
  <c r="I14" i="2"/>
  <c r="H14" i="2"/>
  <c r="G14" i="2"/>
  <c r="F14" i="2"/>
  <c r="E14" i="2"/>
  <c r="C9" i="2"/>
  <c r="D9" i="2"/>
  <c r="E9" i="2"/>
  <c r="F9" i="2"/>
  <c r="G9" i="2"/>
  <c r="H9" i="2"/>
  <c r="I9" i="2"/>
  <c r="C10" i="2"/>
  <c r="D10" i="2"/>
  <c r="E10" i="2"/>
  <c r="F10" i="2"/>
  <c r="G10" i="2"/>
  <c r="H10" i="2"/>
  <c r="I10" i="2"/>
  <c r="C11" i="2"/>
  <c r="D11" i="2"/>
  <c r="E11" i="2"/>
  <c r="F11" i="2"/>
  <c r="G11" i="2"/>
  <c r="H11" i="2"/>
  <c r="I11" i="2"/>
  <c r="C12" i="2"/>
  <c r="D12" i="2"/>
  <c r="E12" i="2"/>
  <c r="F12" i="2"/>
  <c r="G12" i="2"/>
  <c r="H12" i="2"/>
  <c r="I12" i="2"/>
  <c r="I8" i="2"/>
  <c r="H8" i="2"/>
  <c r="G8" i="2"/>
  <c r="F8" i="2"/>
  <c r="E8" i="2"/>
  <c r="D14" i="2"/>
  <c r="D8" i="2"/>
  <c r="C31" i="2"/>
  <c r="C14" i="2"/>
  <c r="C8" i="2"/>
  <c r="C28" i="2" s="1"/>
  <c r="H4" i="7"/>
  <c r="K4" i="4"/>
  <c r="F31" i="2"/>
  <c r="F30" i="2"/>
  <c r="C32" i="2"/>
  <c r="H18" i="4" l="1" a="1"/>
  <c r="H18" i="4" s="1"/>
  <c r="H19" i="4" a="1"/>
  <c r="H19" i="4" s="1"/>
  <c r="H20" i="4" a="1"/>
  <c r="H20" i="4" s="1"/>
  <c r="H21" i="4" a="1"/>
  <c r="H21" i="4" s="1"/>
  <c r="H22" i="4" a="1"/>
  <c r="H22" i="4" s="1"/>
  <c r="H23" i="4" a="1"/>
  <c r="H23" i="4" s="1"/>
  <c r="L23" i="4" a="1"/>
  <c r="L23" i="4" s="1"/>
  <c r="H24" i="4" a="1"/>
  <c r="H24" i="4" s="1"/>
  <c r="L24" i="4" a="1"/>
  <c r="L24" i="4" s="1"/>
  <c r="D25" i="4" a="1"/>
  <c r="D25" i="4" s="1"/>
  <c r="H25" i="4" a="1"/>
  <c r="H25" i="4" s="1"/>
  <c r="L25" i="4" a="1"/>
  <c r="L25" i="4" s="1"/>
  <c r="D26" i="4" a="1"/>
  <c r="D26" i="4" s="1"/>
  <c r="H26" i="4" a="1"/>
  <c r="H26" i="4" s="1"/>
  <c r="L26" i="4" a="1"/>
  <c r="L26" i="4" s="1"/>
  <c r="D27" i="4" a="1"/>
  <c r="D27" i="4" s="1"/>
  <c r="H27" i="4" a="1"/>
  <c r="H27" i="4" s="1"/>
  <c r="L27" i="4" a="1"/>
  <c r="L27" i="4" s="1"/>
  <c r="D28" i="4" a="1"/>
  <c r="D28" i="4" s="1"/>
  <c r="H28" i="4" a="1"/>
  <c r="H28" i="4" s="1"/>
  <c r="L28" i="4" a="1"/>
  <c r="L28" i="4" s="1"/>
  <c r="D29" i="4" a="1"/>
  <c r="D29" i="4" s="1"/>
  <c r="H29" i="4" a="1"/>
  <c r="H29" i="4" s="1"/>
  <c r="L29" i="4" a="1"/>
  <c r="L29" i="4" s="1"/>
  <c r="D30" i="4" a="1"/>
  <c r="D30" i="4" s="1"/>
  <c r="H30" i="4" a="1"/>
  <c r="H30" i="4" s="1"/>
  <c r="L30" i="4" a="1"/>
  <c r="L30" i="4" s="1"/>
  <c r="D31" i="4" a="1"/>
  <c r="D31" i="4" s="1"/>
  <c r="H31" i="4" a="1"/>
  <c r="H31" i="4" s="1"/>
  <c r="L31" i="4" a="1"/>
  <c r="L31" i="4" s="1"/>
  <c r="D32" i="4" a="1"/>
  <c r="D32" i="4" s="1"/>
  <c r="H32" i="4" a="1"/>
  <c r="H32" i="4" s="1"/>
  <c r="L32" i="4" a="1"/>
  <c r="L32" i="4" s="1"/>
  <c r="D33" i="4" a="1"/>
  <c r="D33" i="4" s="1"/>
  <c r="H33" i="4" a="1"/>
  <c r="H33" i="4" s="1"/>
  <c r="L33" i="4" a="1"/>
  <c r="L33" i="4" s="1"/>
  <c r="C30" i="2"/>
  <c r="C29" i="2" a="1"/>
  <c r="C29" i="2" s="1"/>
  <c r="C35" i="2"/>
  <c r="F15" i="7"/>
  <c r="J15" i="7"/>
  <c r="B15" i="7"/>
  <c r="D8" i="7"/>
  <c r="F8" i="7"/>
  <c r="H8" i="7"/>
  <c r="J8" i="7"/>
  <c r="L8" i="7"/>
  <c r="B13" i="7"/>
  <c r="B12" i="7"/>
  <c r="B11" i="7"/>
  <c r="B10" i="7"/>
  <c r="B9" i="7"/>
  <c r="B8" i="7"/>
  <c r="B6" i="7"/>
  <c r="H3" i="7"/>
  <c r="B2" i="7"/>
  <c r="L23" i="7" l="1"/>
  <c r="L24" i="7"/>
  <c r="L25" i="7"/>
  <c r="L26" i="7"/>
  <c r="L27" i="7"/>
  <c r="L28" i="7"/>
  <c r="L29" i="7"/>
  <c r="L30" i="7"/>
  <c r="L31" i="7"/>
  <c r="L32" i="7"/>
  <c r="L33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D25" i="7"/>
  <c r="D26" i="7"/>
  <c r="D27" i="7"/>
  <c r="D28" i="7"/>
  <c r="D29" i="7"/>
  <c r="D30" i="7"/>
  <c r="D31" i="7"/>
  <c r="D32" i="7"/>
  <c r="D33" i="7"/>
  <c r="K4" i="7" l="1"/>
  <c r="V14" i="2" l="1" a="1"/>
  <c r="V14" i="2" s="1"/>
  <c r="W14" i="2" a="1"/>
  <c r="W14" i="2" s="1"/>
  <c r="X14" i="2" a="1"/>
  <c r="X14" i="2" s="1"/>
  <c r="Y14" i="2" a="1"/>
  <c r="Y14" i="2" s="1"/>
  <c r="Z14" i="2" a="1"/>
  <c r="Z14" i="2"/>
  <c r="AA14" i="2" a="1"/>
  <c r="AA14" i="2" s="1"/>
  <c r="U13" i="2" a="1"/>
  <c r="U13" i="2" s="1"/>
  <c r="V13" i="2" a="1"/>
  <c r="V13" i="2"/>
  <c r="W13" i="2" a="1"/>
  <c r="W13" i="2" s="1"/>
  <c r="X13" i="2" a="1"/>
  <c r="X13" i="2" s="1"/>
  <c r="Y13" i="2" a="1"/>
  <c r="Y13" i="2" s="1"/>
  <c r="Z13" i="2" a="1"/>
  <c r="Z13" i="2"/>
  <c r="AA13" i="2" a="1"/>
  <c r="AA13" i="2" s="1"/>
  <c r="U14" i="2" a="1"/>
  <c r="U14" i="2" s="1"/>
  <c r="AA104" i="2" a="1"/>
  <c r="AA104" i="2" s="1"/>
  <c r="Z104" i="2" a="1"/>
  <c r="Z104" i="2" s="1"/>
  <c r="Y104" i="2" a="1"/>
  <c r="Y104" i="2" s="1"/>
  <c r="X104" i="2" a="1"/>
  <c r="X104" i="2" s="1"/>
  <c r="W104" i="2" a="1"/>
  <c r="W104" i="2" s="1"/>
  <c r="V104" i="2" a="1"/>
  <c r="V104" i="2" s="1"/>
  <c r="U104" i="2" a="1"/>
  <c r="U104" i="2" s="1"/>
  <c r="AA103" i="2" a="1"/>
  <c r="AA103" i="2" s="1"/>
  <c r="Z103" i="2" a="1"/>
  <c r="Z103" i="2" s="1"/>
  <c r="Y103" i="2" a="1"/>
  <c r="Y103" i="2" s="1"/>
  <c r="X103" i="2" a="1"/>
  <c r="X103" i="2" s="1"/>
  <c r="W103" i="2" a="1"/>
  <c r="W103" i="2" s="1"/>
  <c r="V103" i="2" a="1"/>
  <c r="V103" i="2" s="1"/>
  <c r="U103" i="2" a="1"/>
  <c r="U103" i="2" s="1"/>
  <c r="AA102" i="2" a="1"/>
  <c r="AA102" i="2" s="1"/>
  <c r="Z102" i="2" a="1"/>
  <c r="Z102" i="2" s="1"/>
  <c r="Y102" i="2" a="1"/>
  <c r="Y102" i="2" s="1"/>
  <c r="X102" i="2" a="1"/>
  <c r="X102" i="2" s="1"/>
  <c r="W102" i="2" a="1"/>
  <c r="W102" i="2" s="1"/>
  <c r="V102" i="2" a="1"/>
  <c r="V102" i="2" s="1"/>
  <c r="U102" i="2" a="1"/>
  <c r="U102" i="2" s="1"/>
  <c r="AA101" i="2" a="1"/>
  <c r="AA101" i="2" s="1"/>
  <c r="Z101" i="2" a="1"/>
  <c r="Z101" i="2" s="1"/>
  <c r="Y101" i="2" a="1"/>
  <c r="Y101" i="2" s="1"/>
  <c r="X101" i="2" a="1"/>
  <c r="X101" i="2" s="1"/>
  <c r="W101" i="2" a="1"/>
  <c r="W101" i="2" s="1"/>
  <c r="V101" i="2" a="1"/>
  <c r="V101" i="2" s="1"/>
  <c r="U101" i="2" a="1"/>
  <c r="U101" i="2" s="1"/>
  <c r="AA100" i="2" a="1"/>
  <c r="AA100" i="2" s="1"/>
  <c r="Z100" i="2" a="1"/>
  <c r="Z100" i="2" s="1"/>
  <c r="Y100" i="2" a="1"/>
  <c r="Y100" i="2" s="1"/>
  <c r="X100" i="2" a="1"/>
  <c r="X100" i="2" s="1"/>
  <c r="W100" i="2" a="1"/>
  <c r="W100" i="2" s="1"/>
  <c r="V100" i="2" a="1"/>
  <c r="V100" i="2" s="1"/>
  <c r="U100" i="2" a="1"/>
  <c r="U100" i="2" s="1"/>
  <c r="AA99" i="2" a="1"/>
  <c r="AA99" i="2" s="1"/>
  <c r="Z99" i="2" a="1"/>
  <c r="Z99" i="2" s="1"/>
  <c r="Y99" i="2" a="1"/>
  <c r="Y99" i="2" s="1"/>
  <c r="X99" i="2" a="1"/>
  <c r="X99" i="2" s="1"/>
  <c r="W99" i="2" a="1"/>
  <c r="W99" i="2" s="1"/>
  <c r="V99" i="2" a="1"/>
  <c r="V99" i="2" s="1"/>
  <c r="U99" i="2" a="1"/>
  <c r="U99" i="2" s="1"/>
  <c r="AA98" i="2" a="1"/>
  <c r="AA98" i="2" s="1"/>
  <c r="Z98" i="2" a="1"/>
  <c r="Z98" i="2" s="1"/>
  <c r="Y98" i="2" a="1"/>
  <c r="Y98" i="2" s="1"/>
  <c r="X98" i="2" a="1"/>
  <c r="X98" i="2" s="1"/>
  <c r="W98" i="2" a="1"/>
  <c r="W98" i="2" s="1"/>
  <c r="V98" i="2" a="1"/>
  <c r="V98" i="2" s="1"/>
  <c r="U98" i="2" a="1"/>
  <c r="U98" i="2" s="1"/>
  <c r="AA97" i="2" a="1"/>
  <c r="AA97" i="2" s="1"/>
  <c r="Z97" i="2" a="1"/>
  <c r="Z97" i="2" s="1"/>
  <c r="Y97" i="2" a="1"/>
  <c r="Y97" i="2" s="1"/>
  <c r="X97" i="2" a="1"/>
  <c r="X97" i="2" s="1"/>
  <c r="W97" i="2" a="1"/>
  <c r="W97" i="2" s="1"/>
  <c r="V97" i="2" a="1"/>
  <c r="V97" i="2" s="1"/>
  <c r="U97" i="2" a="1"/>
  <c r="U97" i="2" s="1"/>
  <c r="AA96" i="2" a="1"/>
  <c r="AA96" i="2" s="1"/>
  <c r="Z96" i="2" a="1"/>
  <c r="Z96" i="2" s="1"/>
  <c r="Y96" i="2" a="1"/>
  <c r="Y96" i="2" s="1"/>
  <c r="X96" i="2" a="1"/>
  <c r="X96" i="2" s="1"/>
  <c r="W96" i="2" a="1"/>
  <c r="W96" i="2" s="1"/>
  <c r="V96" i="2" a="1"/>
  <c r="V96" i="2" s="1"/>
  <c r="U96" i="2" a="1"/>
  <c r="U96" i="2" s="1"/>
  <c r="AA95" i="2" a="1"/>
  <c r="AA95" i="2" s="1"/>
  <c r="Z95" i="2" a="1"/>
  <c r="Z95" i="2" s="1"/>
  <c r="Y95" i="2" a="1"/>
  <c r="Y95" i="2" s="1"/>
  <c r="X95" i="2" a="1"/>
  <c r="X95" i="2" s="1"/>
  <c r="W95" i="2" a="1"/>
  <c r="W95" i="2" s="1"/>
  <c r="V95" i="2" a="1"/>
  <c r="V95" i="2" s="1"/>
  <c r="U95" i="2" a="1"/>
  <c r="U95" i="2" s="1"/>
  <c r="AA94" i="2" a="1"/>
  <c r="AA94" i="2" s="1"/>
  <c r="Z94" i="2" a="1"/>
  <c r="Z94" i="2" s="1"/>
  <c r="Y94" i="2" a="1"/>
  <c r="Y94" i="2" s="1"/>
  <c r="X94" i="2" a="1"/>
  <c r="X94" i="2" s="1"/>
  <c r="W94" i="2" a="1"/>
  <c r="W94" i="2" s="1"/>
  <c r="V94" i="2" a="1"/>
  <c r="V94" i="2" s="1"/>
  <c r="U94" i="2" a="1"/>
  <c r="U94" i="2" s="1"/>
  <c r="AA93" i="2" a="1"/>
  <c r="AA93" i="2" s="1"/>
  <c r="Z93" i="2" a="1"/>
  <c r="Z93" i="2" s="1"/>
  <c r="Y93" i="2" a="1"/>
  <c r="Y93" i="2" s="1"/>
  <c r="X93" i="2" a="1"/>
  <c r="X93" i="2" s="1"/>
  <c r="W93" i="2" a="1"/>
  <c r="W93" i="2" s="1"/>
  <c r="V93" i="2" a="1"/>
  <c r="V93" i="2" s="1"/>
  <c r="U93" i="2" a="1"/>
  <c r="U93" i="2" s="1"/>
  <c r="AA92" i="2" a="1"/>
  <c r="AA92" i="2" s="1"/>
  <c r="Z92" i="2" a="1"/>
  <c r="Z92" i="2" s="1"/>
  <c r="Y92" i="2" a="1"/>
  <c r="Y92" i="2" s="1"/>
  <c r="X92" i="2" a="1"/>
  <c r="X92" i="2" s="1"/>
  <c r="W92" i="2" a="1"/>
  <c r="W92" i="2" s="1"/>
  <c r="V92" i="2" a="1"/>
  <c r="V92" i="2" s="1"/>
  <c r="U92" i="2" a="1"/>
  <c r="U92" i="2" s="1"/>
  <c r="AA91" i="2" a="1"/>
  <c r="AA91" i="2" s="1"/>
  <c r="Z91" i="2" a="1"/>
  <c r="Z91" i="2" s="1"/>
  <c r="Y91" i="2" a="1"/>
  <c r="Y91" i="2" s="1"/>
  <c r="X91" i="2" a="1"/>
  <c r="X91" i="2" s="1"/>
  <c r="W91" i="2" a="1"/>
  <c r="W91" i="2" s="1"/>
  <c r="V91" i="2" a="1"/>
  <c r="V91" i="2" s="1"/>
  <c r="U91" i="2" a="1"/>
  <c r="U91" i="2" s="1"/>
  <c r="AA90" i="2" a="1"/>
  <c r="AA90" i="2" s="1"/>
  <c r="Z90" i="2" a="1"/>
  <c r="Z90" i="2" s="1"/>
  <c r="Y90" i="2" a="1"/>
  <c r="Y90" i="2" s="1"/>
  <c r="X90" i="2" a="1"/>
  <c r="X90" i="2" s="1"/>
  <c r="W90" i="2" a="1"/>
  <c r="W90" i="2" s="1"/>
  <c r="V90" i="2" a="1"/>
  <c r="V90" i="2" s="1"/>
  <c r="U90" i="2" a="1"/>
  <c r="U90" i="2" s="1"/>
  <c r="AA89" i="2" a="1"/>
  <c r="AA89" i="2" s="1"/>
  <c r="Z89" i="2" a="1"/>
  <c r="Z89" i="2" s="1"/>
  <c r="Y89" i="2" a="1"/>
  <c r="Y89" i="2" s="1"/>
  <c r="X89" i="2" a="1"/>
  <c r="X89" i="2" s="1"/>
  <c r="W89" i="2" a="1"/>
  <c r="W89" i="2" s="1"/>
  <c r="V89" i="2" a="1"/>
  <c r="V89" i="2" s="1"/>
  <c r="U89" i="2" a="1"/>
  <c r="U89" i="2" s="1"/>
  <c r="AA88" i="2" a="1"/>
  <c r="AA88" i="2" s="1"/>
  <c r="Z88" i="2" a="1"/>
  <c r="Z88" i="2" s="1"/>
  <c r="Y88" i="2" a="1"/>
  <c r="Y88" i="2" s="1"/>
  <c r="X88" i="2" a="1"/>
  <c r="X88" i="2" s="1"/>
  <c r="W88" i="2" a="1"/>
  <c r="W88" i="2" s="1"/>
  <c r="V88" i="2" a="1"/>
  <c r="V88" i="2" s="1"/>
  <c r="U88" i="2" a="1"/>
  <c r="U88" i="2" s="1"/>
  <c r="AA87" i="2" a="1"/>
  <c r="AA87" i="2" s="1"/>
  <c r="Z87" i="2" a="1"/>
  <c r="Z87" i="2" s="1"/>
  <c r="Y87" i="2" a="1"/>
  <c r="Y87" i="2" s="1"/>
  <c r="X87" i="2" a="1"/>
  <c r="X87" i="2" s="1"/>
  <c r="W87" i="2" a="1"/>
  <c r="W87" i="2" s="1"/>
  <c r="V87" i="2" a="1"/>
  <c r="V87" i="2" s="1"/>
  <c r="U87" i="2" a="1"/>
  <c r="U87" i="2" s="1"/>
  <c r="AA86" i="2" a="1"/>
  <c r="AA86" i="2" s="1"/>
  <c r="Z86" i="2" a="1"/>
  <c r="Z86" i="2" s="1"/>
  <c r="Y86" i="2" a="1"/>
  <c r="Y86" i="2" s="1"/>
  <c r="X86" i="2" a="1"/>
  <c r="X86" i="2" s="1"/>
  <c r="W86" i="2" a="1"/>
  <c r="W86" i="2" s="1"/>
  <c r="V86" i="2" a="1"/>
  <c r="V86" i="2" s="1"/>
  <c r="U86" i="2" a="1"/>
  <c r="U86" i="2" s="1"/>
  <c r="AA85" i="2" a="1"/>
  <c r="AA85" i="2" s="1"/>
  <c r="Z85" i="2" a="1"/>
  <c r="Z85" i="2" s="1"/>
  <c r="Y85" i="2" a="1"/>
  <c r="Y85" i="2" s="1"/>
  <c r="X85" i="2" a="1"/>
  <c r="X85" i="2" s="1"/>
  <c r="W85" i="2" a="1"/>
  <c r="W85" i="2" s="1"/>
  <c r="V85" i="2" a="1"/>
  <c r="V85" i="2" s="1"/>
  <c r="U85" i="2" a="1"/>
  <c r="U85" i="2" s="1"/>
  <c r="AA84" i="2" a="1"/>
  <c r="AA84" i="2" s="1"/>
  <c r="Z84" i="2" a="1"/>
  <c r="Z84" i="2" s="1"/>
  <c r="Y84" i="2" a="1"/>
  <c r="Y84" i="2" s="1"/>
  <c r="X84" i="2" a="1"/>
  <c r="X84" i="2" s="1"/>
  <c r="W84" i="2" a="1"/>
  <c r="W84" i="2" s="1"/>
  <c r="V84" i="2" a="1"/>
  <c r="V84" i="2" s="1"/>
  <c r="U84" i="2" a="1"/>
  <c r="U84" i="2" s="1"/>
  <c r="AA83" i="2" a="1"/>
  <c r="AA83" i="2" s="1"/>
  <c r="Z83" i="2" a="1"/>
  <c r="Z83" i="2" s="1"/>
  <c r="Y83" i="2" a="1"/>
  <c r="Y83" i="2" s="1"/>
  <c r="X83" i="2" a="1"/>
  <c r="X83" i="2" s="1"/>
  <c r="W83" i="2" a="1"/>
  <c r="W83" i="2" s="1"/>
  <c r="V83" i="2" a="1"/>
  <c r="V83" i="2" s="1"/>
  <c r="U83" i="2" a="1"/>
  <c r="U83" i="2" s="1"/>
  <c r="AA82" i="2" a="1"/>
  <c r="AA82" i="2" s="1"/>
  <c r="Z82" i="2" a="1"/>
  <c r="Z82" i="2" s="1"/>
  <c r="Y82" i="2" a="1"/>
  <c r="Y82" i="2" s="1"/>
  <c r="X82" i="2" a="1"/>
  <c r="X82" i="2" s="1"/>
  <c r="W82" i="2" a="1"/>
  <c r="W82" i="2" s="1"/>
  <c r="V82" i="2" a="1"/>
  <c r="V82" i="2" s="1"/>
  <c r="U82" i="2" a="1"/>
  <c r="U82" i="2" s="1"/>
  <c r="AA81" i="2" a="1"/>
  <c r="AA81" i="2" s="1"/>
  <c r="Z81" i="2" a="1"/>
  <c r="Z81" i="2" s="1"/>
  <c r="Y81" i="2" a="1"/>
  <c r="Y81" i="2" s="1"/>
  <c r="X81" i="2" a="1"/>
  <c r="X81" i="2" s="1"/>
  <c r="W81" i="2" a="1"/>
  <c r="W81" i="2" s="1"/>
  <c r="V81" i="2" a="1"/>
  <c r="V81" i="2" s="1"/>
  <c r="U81" i="2" a="1"/>
  <c r="U81" i="2" s="1"/>
  <c r="AA80" i="2" a="1"/>
  <c r="AA80" i="2" s="1"/>
  <c r="Z80" i="2" a="1"/>
  <c r="Z80" i="2" s="1"/>
  <c r="Y80" i="2" a="1"/>
  <c r="Y80" i="2" s="1"/>
  <c r="X80" i="2" a="1"/>
  <c r="X80" i="2" s="1"/>
  <c r="W80" i="2" a="1"/>
  <c r="W80" i="2" s="1"/>
  <c r="V80" i="2" a="1"/>
  <c r="V80" i="2" s="1"/>
  <c r="U80" i="2" a="1"/>
  <c r="U80" i="2" s="1"/>
  <c r="AA79" i="2" a="1"/>
  <c r="AA79" i="2" s="1"/>
  <c r="Z79" i="2" a="1"/>
  <c r="Z79" i="2" s="1"/>
  <c r="Y79" i="2" a="1"/>
  <c r="Y79" i="2" s="1"/>
  <c r="X79" i="2" a="1"/>
  <c r="X79" i="2" s="1"/>
  <c r="W79" i="2" a="1"/>
  <c r="W79" i="2" s="1"/>
  <c r="V79" i="2" a="1"/>
  <c r="V79" i="2" s="1"/>
  <c r="U79" i="2" a="1"/>
  <c r="U79" i="2" s="1"/>
  <c r="AA78" i="2" a="1"/>
  <c r="AA78" i="2" s="1"/>
  <c r="Z78" i="2" a="1"/>
  <c r="Z78" i="2" s="1"/>
  <c r="Y78" i="2" a="1"/>
  <c r="Y78" i="2" s="1"/>
  <c r="X78" i="2" a="1"/>
  <c r="X78" i="2" s="1"/>
  <c r="W78" i="2" a="1"/>
  <c r="W78" i="2" s="1"/>
  <c r="V78" i="2" a="1"/>
  <c r="V78" i="2" s="1"/>
  <c r="U78" i="2" a="1"/>
  <c r="U78" i="2" s="1"/>
  <c r="AA77" i="2" a="1"/>
  <c r="AA77" i="2" s="1"/>
  <c r="Z77" i="2" a="1"/>
  <c r="Z77" i="2" s="1"/>
  <c r="Y77" i="2" a="1"/>
  <c r="Y77" i="2" s="1"/>
  <c r="X77" i="2" a="1"/>
  <c r="X77" i="2" s="1"/>
  <c r="W77" i="2" a="1"/>
  <c r="W77" i="2" s="1"/>
  <c r="V77" i="2" a="1"/>
  <c r="V77" i="2" s="1"/>
  <c r="U77" i="2" a="1"/>
  <c r="U77" i="2" s="1"/>
  <c r="AA76" i="2" a="1"/>
  <c r="AA76" i="2" s="1"/>
  <c r="Z76" i="2" a="1"/>
  <c r="Z76" i="2" s="1"/>
  <c r="Y76" i="2" a="1"/>
  <c r="Y76" i="2" s="1"/>
  <c r="X76" i="2" a="1"/>
  <c r="X76" i="2" s="1"/>
  <c r="W76" i="2" a="1"/>
  <c r="W76" i="2" s="1"/>
  <c r="V76" i="2" a="1"/>
  <c r="V76" i="2" s="1"/>
  <c r="U76" i="2" a="1"/>
  <c r="U76" i="2" s="1"/>
  <c r="AA75" i="2" a="1"/>
  <c r="AA75" i="2" s="1"/>
  <c r="Z75" i="2" a="1"/>
  <c r="Z75" i="2" s="1"/>
  <c r="Y75" i="2" a="1"/>
  <c r="Y75" i="2" s="1"/>
  <c r="X75" i="2" a="1"/>
  <c r="X75" i="2" s="1"/>
  <c r="W75" i="2" a="1"/>
  <c r="W75" i="2" s="1"/>
  <c r="V75" i="2" a="1"/>
  <c r="V75" i="2" s="1"/>
  <c r="U75" i="2" a="1"/>
  <c r="U75" i="2" s="1"/>
  <c r="AA74" i="2" a="1"/>
  <c r="AA74" i="2" s="1"/>
  <c r="Z74" i="2" a="1"/>
  <c r="Z74" i="2" s="1"/>
  <c r="Y74" i="2" a="1"/>
  <c r="Y74" i="2" s="1"/>
  <c r="X74" i="2" a="1"/>
  <c r="X74" i="2" s="1"/>
  <c r="W74" i="2" a="1"/>
  <c r="W74" i="2" s="1"/>
  <c r="V74" i="2" a="1"/>
  <c r="V74" i="2" s="1"/>
  <c r="U74" i="2" a="1"/>
  <c r="U74" i="2" s="1"/>
  <c r="AA73" i="2" a="1"/>
  <c r="AA73" i="2" s="1"/>
  <c r="Z73" i="2" a="1"/>
  <c r="Z73" i="2" s="1"/>
  <c r="Y73" i="2" a="1"/>
  <c r="Y73" i="2" s="1"/>
  <c r="X73" i="2" a="1"/>
  <c r="X73" i="2" s="1"/>
  <c r="W73" i="2" a="1"/>
  <c r="W73" i="2" s="1"/>
  <c r="V73" i="2" a="1"/>
  <c r="V73" i="2" s="1"/>
  <c r="U73" i="2" a="1"/>
  <c r="U73" i="2" s="1"/>
  <c r="AA72" i="2" a="1"/>
  <c r="AA72" i="2" s="1"/>
  <c r="Z72" i="2" a="1"/>
  <c r="Z72" i="2" s="1"/>
  <c r="Y72" i="2" a="1"/>
  <c r="Y72" i="2" s="1"/>
  <c r="X72" i="2" a="1"/>
  <c r="X72" i="2" s="1"/>
  <c r="W72" i="2" a="1"/>
  <c r="W72" i="2" s="1"/>
  <c r="V72" i="2" a="1"/>
  <c r="V72" i="2" s="1"/>
  <c r="U72" i="2" a="1"/>
  <c r="U72" i="2" s="1"/>
  <c r="AA71" i="2" a="1"/>
  <c r="AA71" i="2" s="1"/>
  <c r="Z71" i="2" a="1"/>
  <c r="Z71" i="2" s="1"/>
  <c r="Y71" i="2" a="1"/>
  <c r="Y71" i="2" s="1"/>
  <c r="X71" i="2" a="1"/>
  <c r="X71" i="2" s="1"/>
  <c r="W71" i="2" a="1"/>
  <c r="W71" i="2" s="1"/>
  <c r="V71" i="2" a="1"/>
  <c r="V71" i="2" s="1"/>
  <c r="U71" i="2" a="1"/>
  <c r="U71" i="2" s="1"/>
  <c r="AA70" i="2" a="1"/>
  <c r="AA70" i="2" s="1"/>
  <c r="Z70" i="2" a="1"/>
  <c r="Z70" i="2" s="1"/>
  <c r="Y70" i="2" a="1"/>
  <c r="Y70" i="2" s="1"/>
  <c r="X70" i="2" a="1"/>
  <c r="X70" i="2" s="1"/>
  <c r="W70" i="2" a="1"/>
  <c r="W70" i="2" s="1"/>
  <c r="V70" i="2" a="1"/>
  <c r="V70" i="2" s="1"/>
  <c r="U70" i="2" a="1"/>
  <c r="U70" i="2" s="1"/>
  <c r="AA69" i="2" a="1"/>
  <c r="AA69" i="2" s="1"/>
  <c r="Z69" i="2" a="1"/>
  <c r="Z69" i="2" s="1"/>
  <c r="Y69" i="2" a="1"/>
  <c r="Y69" i="2" s="1"/>
  <c r="X69" i="2" a="1"/>
  <c r="X69" i="2" s="1"/>
  <c r="W69" i="2" a="1"/>
  <c r="W69" i="2" s="1"/>
  <c r="V69" i="2" a="1"/>
  <c r="V69" i="2" s="1"/>
  <c r="U69" i="2" a="1"/>
  <c r="U69" i="2" s="1"/>
  <c r="AA68" i="2" a="1"/>
  <c r="AA68" i="2" s="1"/>
  <c r="Z68" i="2" a="1"/>
  <c r="Z68" i="2" s="1"/>
  <c r="Y68" i="2" a="1"/>
  <c r="Y68" i="2" s="1"/>
  <c r="X68" i="2" a="1"/>
  <c r="X68" i="2" s="1"/>
  <c r="W68" i="2" a="1"/>
  <c r="W68" i="2" s="1"/>
  <c r="V68" i="2" a="1"/>
  <c r="V68" i="2" s="1"/>
  <c r="U68" i="2" a="1"/>
  <c r="U68" i="2" s="1"/>
  <c r="AA67" i="2" a="1"/>
  <c r="AA67" i="2" s="1"/>
  <c r="Z67" i="2" a="1"/>
  <c r="Z67" i="2" s="1"/>
  <c r="Y67" i="2" a="1"/>
  <c r="Y67" i="2" s="1"/>
  <c r="X67" i="2" a="1"/>
  <c r="X67" i="2" s="1"/>
  <c r="W67" i="2" a="1"/>
  <c r="W67" i="2" s="1"/>
  <c r="V67" i="2" a="1"/>
  <c r="V67" i="2" s="1"/>
  <c r="U67" i="2" a="1"/>
  <c r="U67" i="2" s="1"/>
  <c r="AA66" i="2" a="1"/>
  <c r="AA66" i="2" s="1"/>
  <c r="Z66" i="2" a="1"/>
  <c r="Z66" i="2" s="1"/>
  <c r="Y66" i="2" a="1"/>
  <c r="Y66" i="2" s="1"/>
  <c r="X66" i="2" a="1"/>
  <c r="X66" i="2" s="1"/>
  <c r="W66" i="2" a="1"/>
  <c r="W66" i="2" s="1"/>
  <c r="V66" i="2" a="1"/>
  <c r="V66" i="2" s="1"/>
  <c r="U66" i="2" a="1"/>
  <c r="U66" i="2" s="1"/>
  <c r="AA65" i="2" a="1"/>
  <c r="AA65" i="2" s="1"/>
  <c r="Z65" i="2" a="1"/>
  <c r="Z65" i="2" s="1"/>
  <c r="Y65" i="2" a="1"/>
  <c r="Y65" i="2" s="1"/>
  <c r="X65" i="2" a="1"/>
  <c r="X65" i="2" s="1"/>
  <c r="W65" i="2" a="1"/>
  <c r="W65" i="2" s="1"/>
  <c r="V65" i="2" a="1"/>
  <c r="V65" i="2" s="1"/>
  <c r="U65" i="2" a="1"/>
  <c r="U65" i="2" s="1"/>
  <c r="AA64" i="2" a="1"/>
  <c r="AA64" i="2" s="1"/>
  <c r="Z64" i="2" a="1"/>
  <c r="Z64" i="2" s="1"/>
  <c r="Y64" i="2" a="1"/>
  <c r="Y64" i="2" s="1"/>
  <c r="X64" i="2" a="1"/>
  <c r="X64" i="2" s="1"/>
  <c r="W64" i="2" a="1"/>
  <c r="W64" i="2" s="1"/>
  <c r="V64" i="2" a="1"/>
  <c r="V64" i="2" s="1"/>
  <c r="U64" i="2" a="1"/>
  <c r="U64" i="2" s="1"/>
  <c r="AA63" i="2" a="1"/>
  <c r="AA63" i="2" s="1"/>
  <c r="Z63" i="2" a="1"/>
  <c r="Z63" i="2" s="1"/>
  <c r="Y63" i="2" a="1"/>
  <c r="Y63" i="2" s="1"/>
  <c r="X63" i="2" a="1"/>
  <c r="X63" i="2" s="1"/>
  <c r="W63" i="2" a="1"/>
  <c r="W63" i="2" s="1"/>
  <c r="V63" i="2" a="1"/>
  <c r="V63" i="2" s="1"/>
  <c r="U63" i="2" a="1"/>
  <c r="U63" i="2" s="1"/>
  <c r="AA62" i="2" a="1"/>
  <c r="AA62" i="2" s="1"/>
  <c r="Z62" i="2" a="1"/>
  <c r="Z62" i="2" s="1"/>
  <c r="Y62" i="2" a="1"/>
  <c r="Y62" i="2" s="1"/>
  <c r="X62" i="2" a="1"/>
  <c r="X62" i="2" s="1"/>
  <c r="W62" i="2" a="1"/>
  <c r="W62" i="2" s="1"/>
  <c r="V62" i="2" a="1"/>
  <c r="V62" i="2" s="1"/>
  <c r="U62" i="2" a="1"/>
  <c r="U62" i="2" s="1"/>
  <c r="AA61" i="2" a="1"/>
  <c r="AA61" i="2" s="1"/>
  <c r="Z61" i="2" a="1"/>
  <c r="Z61" i="2" s="1"/>
  <c r="Y61" i="2" a="1"/>
  <c r="Y61" i="2" s="1"/>
  <c r="X61" i="2" a="1"/>
  <c r="X61" i="2" s="1"/>
  <c r="W61" i="2" a="1"/>
  <c r="W61" i="2" s="1"/>
  <c r="V61" i="2" a="1"/>
  <c r="V61" i="2" s="1"/>
  <c r="U61" i="2" a="1"/>
  <c r="U61" i="2" s="1"/>
  <c r="AA60" i="2" a="1"/>
  <c r="AA60" i="2" s="1"/>
  <c r="Z60" i="2" a="1"/>
  <c r="Z60" i="2" s="1"/>
  <c r="Y60" i="2" a="1"/>
  <c r="Y60" i="2" s="1"/>
  <c r="X60" i="2" a="1"/>
  <c r="X60" i="2" s="1"/>
  <c r="W60" i="2" a="1"/>
  <c r="W60" i="2" s="1"/>
  <c r="V60" i="2" a="1"/>
  <c r="V60" i="2" s="1"/>
  <c r="U60" i="2" a="1"/>
  <c r="U60" i="2" s="1"/>
  <c r="AA59" i="2" a="1"/>
  <c r="AA59" i="2" s="1"/>
  <c r="Z59" i="2" a="1"/>
  <c r="Z59" i="2" s="1"/>
  <c r="Y59" i="2" a="1"/>
  <c r="Y59" i="2" s="1"/>
  <c r="X59" i="2" a="1"/>
  <c r="X59" i="2" s="1"/>
  <c r="W59" i="2" a="1"/>
  <c r="W59" i="2" s="1"/>
  <c r="V59" i="2" a="1"/>
  <c r="V59" i="2" s="1"/>
  <c r="U59" i="2" a="1"/>
  <c r="U59" i="2" s="1"/>
  <c r="AA58" i="2" a="1"/>
  <c r="AA58" i="2" s="1"/>
  <c r="Z58" i="2" a="1"/>
  <c r="Z58" i="2" s="1"/>
  <c r="Y58" i="2" a="1"/>
  <c r="Y58" i="2" s="1"/>
  <c r="X58" i="2" a="1"/>
  <c r="X58" i="2" s="1"/>
  <c r="W58" i="2" a="1"/>
  <c r="W58" i="2" s="1"/>
  <c r="V58" i="2" a="1"/>
  <c r="V58" i="2" s="1"/>
  <c r="U58" i="2" a="1"/>
  <c r="U58" i="2" s="1"/>
  <c r="AA57" i="2" a="1"/>
  <c r="AA57" i="2" s="1"/>
  <c r="Z57" i="2" a="1"/>
  <c r="Z57" i="2" s="1"/>
  <c r="Y57" i="2" a="1"/>
  <c r="Y57" i="2" s="1"/>
  <c r="X57" i="2" a="1"/>
  <c r="X57" i="2" s="1"/>
  <c r="W57" i="2" a="1"/>
  <c r="W57" i="2" s="1"/>
  <c r="V57" i="2" a="1"/>
  <c r="V57" i="2" s="1"/>
  <c r="U57" i="2" a="1"/>
  <c r="U57" i="2" s="1"/>
  <c r="AA56" i="2" a="1"/>
  <c r="AA56" i="2" s="1"/>
  <c r="Z56" i="2" a="1"/>
  <c r="Z56" i="2" s="1"/>
  <c r="Y56" i="2" a="1"/>
  <c r="Y56" i="2" s="1"/>
  <c r="X56" i="2" a="1"/>
  <c r="X56" i="2" s="1"/>
  <c r="W56" i="2" a="1"/>
  <c r="W56" i="2" s="1"/>
  <c r="V56" i="2" a="1"/>
  <c r="V56" i="2" s="1"/>
  <c r="U56" i="2" a="1"/>
  <c r="U56" i="2" s="1"/>
  <c r="AA55" i="2" a="1"/>
  <c r="AA55" i="2" s="1"/>
  <c r="Z55" i="2" a="1"/>
  <c r="Z55" i="2" s="1"/>
  <c r="Y55" i="2" a="1"/>
  <c r="Y55" i="2" s="1"/>
  <c r="X55" i="2" a="1"/>
  <c r="X55" i="2" s="1"/>
  <c r="W55" i="2" a="1"/>
  <c r="W55" i="2" s="1"/>
  <c r="V55" i="2" a="1"/>
  <c r="V55" i="2" s="1"/>
  <c r="U55" i="2" a="1"/>
  <c r="U55" i="2" s="1"/>
  <c r="AA54" i="2" a="1"/>
  <c r="AA54" i="2" s="1"/>
  <c r="Z54" i="2" a="1"/>
  <c r="Z54" i="2" s="1"/>
  <c r="Y54" i="2" a="1"/>
  <c r="Y54" i="2" s="1"/>
  <c r="X54" i="2" a="1"/>
  <c r="X54" i="2" s="1"/>
  <c r="W54" i="2" a="1"/>
  <c r="W54" i="2" s="1"/>
  <c r="V54" i="2" a="1"/>
  <c r="V54" i="2" s="1"/>
  <c r="U54" i="2" a="1"/>
  <c r="U54" i="2" s="1"/>
  <c r="AA53" i="2" a="1"/>
  <c r="AA53" i="2" s="1"/>
  <c r="Z53" i="2" a="1"/>
  <c r="Z53" i="2" s="1"/>
  <c r="Y53" i="2" a="1"/>
  <c r="Y53" i="2" s="1"/>
  <c r="X53" i="2" a="1"/>
  <c r="X53" i="2" s="1"/>
  <c r="W53" i="2" a="1"/>
  <c r="W53" i="2" s="1"/>
  <c r="V53" i="2" a="1"/>
  <c r="V53" i="2" s="1"/>
  <c r="U53" i="2" a="1"/>
  <c r="U53" i="2" s="1"/>
  <c r="AA52" i="2" a="1"/>
  <c r="AA52" i="2" s="1"/>
  <c r="Z52" i="2" a="1"/>
  <c r="Z52" i="2" s="1"/>
  <c r="Y52" i="2" a="1"/>
  <c r="Y52" i="2" s="1"/>
  <c r="X52" i="2" a="1"/>
  <c r="X52" i="2" s="1"/>
  <c r="W52" i="2" a="1"/>
  <c r="W52" i="2" s="1"/>
  <c r="V52" i="2" a="1"/>
  <c r="V52" i="2" s="1"/>
  <c r="U52" i="2" a="1"/>
  <c r="U52" i="2" s="1"/>
  <c r="AA51" i="2" a="1"/>
  <c r="AA51" i="2" s="1"/>
  <c r="Z51" i="2" a="1"/>
  <c r="Z51" i="2" s="1"/>
  <c r="Y51" i="2" a="1"/>
  <c r="Y51" i="2" s="1"/>
  <c r="X51" i="2" a="1"/>
  <c r="X51" i="2" s="1"/>
  <c r="W51" i="2" a="1"/>
  <c r="W51" i="2" s="1"/>
  <c r="V51" i="2" a="1"/>
  <c r="V51" i="2" s="1"/>
  <c r="U51" i="2" a="1"/>
  <c r="U51" i="2" s="1"/>
  <c r="AA50" i="2" a="1"/>
  <c r="AA50" i="2" s="1"/>
  <c r="Z50" i="2" a="1"/>
  <c r="Z50" i="2" s="1"/>
  <c r="Y50" i="2" a="1"/>
  <c r="Y50" i="2" s="1"/>
  <c r="X50" i="2" a="1"/>
  <c r="X50" i="2" s="1"/>
  <c r="W50" i="2" a="1"/>
  <c r="W50" i="2" s="1"/>
  <c r="V50" i="2" a="1"/>
  <c r="V50" i="2" s="1"/>
  <c r="U50" i="2" a="1"/>
  <c r="U50" i="2" s="1"/>
  <c r="AA49" i="2" a="1"/>
  <c r="AA49" i="2" s="1"/>
  <c r="Z49" i="2" a="1"/>
  <c r="Z49" i="2" s="1"/>
  <c r="Y49" i="2" a="1"/>
  <c r="Y49" i="2" s="1"/>
  <c r="X49" i="2" a="1"/>
  <c r="X49" i="2" s="1"/>
  <c r="W49" i="2" a="1"/>
  <c r="W49" i="2" s="1"/>
  <c r="V49" i="2" a="1"/>
  <c r="V49" i="2" s="1"/>
  <c r="U49" i="2" a="1"/>
  <c r="U49" i="2" s="1"/>
  <c r="AA48" i="2" a="1"/>
  <c r="AA48" i="2" s="1"/>
  <c r="Z48" i="2" a="1"/>
  <c r="Z48" i="2" s="1"/>
  <c r="Y48" i="2" a="1"/>
  <c r="Y48" i="2" s="1"/>
  <c r="X48" i="2" a="1"/>
  <c r="X48" i="2" s="1"/>
  <c r="W48" i="2" a="1"/>
  <c r="W48" i="2" s="1"/>
  <c r="V48" i="2" a="1"/>
  <c r="V48" i="2" s="1"/>
  <c r="U48" i="2" a="1"/>
  <c r="U48" i="2" s="1"/>
  <c r="AA47" i="2" a="1"/>
  <c r="AA47" i="2" s="1"/>
  <c r="Z47" i="2" a="1"/>
  <c r="Z47" i="2" s="1"/>
  <c r="Y47" i="2" a="1"/>
  <c r="Y47" i="2" s="1"/>
  <c r="X47" i="2" a="1"/>
  <c r="X47" i="2" s="1"/>
  <c r="W47" i="2" a="1"/>
  <c r="W47" i="2" s="1"/>
  <c r="V47" i="2" a="1"/>
  <c r="V47" i="2" s="1"/>
  <c r="U47" i="2" a="1"/>
  <c r="U47" i="2" s="1"/>
  <c r="AA46" i="2" a="1"/>
  <c r="AA46" i="2" s="1"/>
  <c r="Z46" i="2" a="1"/>
  <c r="Z46" i="2" s="1"/>
  <c r="Y46" i="2" a="1"/>
  <c r="Y46" i="2" s="1"/>
  <c r="X46" i="2" a="1"/>
  <c r="X46" i="2" s="1"/>
  <c r="W46" i="2" a="1"/>
  <c r="W46" i="2" s="1"/>
  <c r="V46" i="2" a="1"/>
  <c r="V46" i="2" s="1"/>
  <c r="U46" i="2" a="1"/>
  <c r="U46" i="2" s="1"/>
  <c r="AA45" i="2" a="1"/>
  <c r="AA45" i="2" s="1"/>
  <c r="Z45" i="2" a="1"/>
  <c r="Z45" i="2" s="1"/>
  <c r="Y45" i="2" a="1"/>
  <c r="Y45" i="2" s="1"/>
  <c r="X45" i="2" a="1"/>
  <c r="X45" i="2" s="1"/>
  <c r="W45" i="2" a="1"/>
  <c r="W45" i="2" s="1"/>
  <c r="V45" i="2" a="1"/>
  <c r="V45" i="2" s="1"/>
  <c r="U45" i="2" a="1"/>
  <c r="U45" i="2" s="1"/>
  <c r="AA44" i="2" a="1"/>
  <c r="AA44" i="2" s="1"/>
  <c r="Z44" i="2" a="1"/>
  <c r="Z44" i="2" s="1"/>
  <c r="Y44" i="2" a="1"/>
  <c r="Y44" i="2" s="1"/>
  <c r="X44" i="2" a="1"/>
  <c r="X44" i="2" s="1"/>
  <c r="W44" i="2" a="1"/>
  <c r="W44" i="2" s="1"/>
  <c r="V44" i="2" a="1"/>
  <c r="V44" i="2" s="1"/>
  <c r="U44" i="2" a="1"/>
  <c r="U44" i="2" s="1"/>
  <c r="AA43" i="2" a="1"/>
  <c r="AA43" i="2" s="1"/>
  <c r="Z43" i="2" a="1"/>
  <c r="Z43" i="2" s="1"/>
  <c r="Y43" i="2" a="1"/>
  <c r="Y43" i="2" s="1"/>
  <c r="X43" i="2" a="1"/>
  <c r="X43" i="2" s="1"/>
  <c r="W43" i="2" a="1"/>
  <c r="W43" i="2" s="1"/>
  <c r="V43" i="2" a="1"/>
  <c r="V43" i="2" s="1"/>
  <c r="U43" i="2" a="1"/>
  <c r="U43" i="2" s="1"/>
  <c r="AA42" i="2" a="1"/>
  <c r="AA42" i="2" s="1"/>
  <c r="Z42" i="2" a="1"/>
  <c r="Z42" i="2" s="1"/>
  <c r="Y42" i="2" a="1"/>
  <c r="Y42" i="2" s="1"/>
  <c r="X42" i="2" a="1"/>
  <c r="X42" i="2" s="1"/>
  <c r="W42" i="2" a="1"/>
  <c r="W42" i="2" s="1"/>
  <c r="V42" i="2" a="1"/>
  <c r="V42" i="2" s="1"/>
  <c r="U42" i="2" a="1"/>
  <c r="U42" i="2" s="1"/>
  <c r="AA41" i="2" a="1"/>
  <c r="AA41" i="2" s="1"/>
  <c r="Z41" i="2" a="1"/>
  <c r="Z41" i="2" s="1"/>
  <c r="Y41" i="2" a="1"/>
  <c r="Y41" i="2" s="1"/>
  <c r="X41" i="2" a="1"/>
  <c r="X41" i="2" s="1"/>
  <c r="W41" i="2" a="1"/>
  <c r="W41" i="2" s="1"/>
  <c r="V41" i="2" a="1"/>
  <c r="V41" i="2" s="1"/>
  <c r="U41" i="2" a="1"/>
  <c r="U41" i="2" s="1"/>
  <c r="AA40" i="2" a="1"/>
  <c r="AA40" i="2" s="1"/>
  <c r="Z40" i="2" a="1"/>
  <c r="Z40" i="2" s="1"/>
  <c r="Y40" i="2" a="1"/>
  <c r="Y40" i="2" s="1"/>
  <c r="X40" i="2" a="1"/>
  <c r="X40" i="2" s="1"/>
  <c r="W40" i="2" a="1"/>
  <c r="W40" i="2" s="1"/>
  <c r="V40" i="2" a="1"/>
  <c r="V40" i="2" s="1"/>
  <c r="U40" i="2" a="1"/>
  <c r="U40" i="2" s="1"/>
  <c r="AA39" i="2" a="1"/>
  <c r="AA39" i="2" s="1"/>
  <c r="Z39" i="2" a="1"/>
  <c r="Z39" i="2" s="1"/>
  <c r="Y39" i="2" a="1"/>
  <c r="Y39" i="2" s="1"/>
  <c r="X39" i="2" a="1"/>
  <c r="X39" i="2" s="1"/>
  <c r="W39" i="2" a="1"/>
  <c r="W39" i="2" s="1"/>
  <c r="V39" i="2" a="1"/>
  <c r="V39" i="2" s="1"/>
  <c r="U39" i="2" a="1"/>
  <c r="U39" i="2" s="1"/>
  <c r="AA38" i="2" a="1"/>
  <c r="AA38" i="2" s="1"/>
  <c r="Z38" i="2" a="1"/>
  <c r="Z38" i="2" s="1"/>
  <c r="Y38" i="2" a="1"/>
  <c r="Y38" i="2" s="1"/>
  <c r="X38" i="2" a="1"/>
  <c r="X38" i="2" s="1"/>
  <c r="W38" i="2" a="1"/>
  <c r="W38" i="2" s="1"/>
  <c r="V38" i="2" a="1"/>
  <c r="V38" i="2" s="1"/>
  <c r="U38" i="2" a="1"/>
  <c r="U38" i="2" s="1"/>
  <c r="AA37" i="2" a="1"/>
  <c r="AA37" i="2" s="1"/>
  <c r="Z37" i="2" a="1"/>
  <c r="Z37" i="2" s="1"/>
  <c r="Y37" i="2" a="1"/>
  <c r="Y37" i="2" s="1"/>
  <c r="X37" i="2" a="1"/>
  <c r="X37" i="2" s="1"/>
  <c r="W37" i="2" a="1"/>
  <c r="W37" i="2" s="1"/>
  <c r="V37" i="2" a="1"/>
  <c r="V37" i="2" s="1"/>
  <c r="U37" i="2" a="1"/>
  <c r="U37" i="2" s="1"/>
  <c r="AA36" i="2" a="1"/>
  <c r="AA36" i="2" s="1"/>
  <c r="Z36" i="2" a="1"/>
  <c r="Z36" i="2" s="1"/>
  <c r="Y36" i="2" a="1"/>
  <c r="Y36" i="2" s="1"/>
  <c r="X36" i="2" a="1"/>
  <c r="X36" i="2" s="1"/>
  <c r="W36" i="2" a="1"/>
  <c r="W36" i="2" s="1"/>
  <c r="V36" i="2" a="1"/>
  <c r="V36" i="2" s="1"/>
  <c r="U36" i="2" a="1"/>
  <c r="U36" i="2" s="1"/>
  <c r="AA35" i="2" a="1"/>
  <c r="AA35" i="2" s="1"/>
  <c r="Z35" i="2" a="1"/>
  <c r="Z35" i="2" s="1"/>
  <c r="Y35" i="2" a="1"/>
  <c r="Y35" i="2" s="1"/>
  <c r="X35" i="2" a="1"/>
  <c r="X35" i="2" s="1"/>
  <c r="W35" i="2" a="1"/>
  <c r="W35" i="2" s="1"/>
  <c r="V35" i="2" a="1"/>
  <c r="V35" i="2" s="1"/>
  <c r="U35" i="2" a="1"/>
  <c r="U35" i="2" s="1"/>
  <c r="AA34" i="2" a="1"/>
  <c r="AA34" i="2" s="1"/>
  <c r="Z34" i="2" a="1"/>
  <c r="Z34" i="2" s="1"/>
  <c r="Y34" i="2" a="1"/>
  <c r="Y34" i="2" s="1"/>
  <c r="X34" i="2" a="1"/>
  <c r="X34" i="2" s="1"/>
  <c r="W34" i="2" a="1"/>
  <c r="W34" i="2" s="1"/>
  <c r="V34" i="2" a="1"/>
  <c r="V34" i="2" s="1"/>
  <c r="U34" i="2" a="1"/>
  <c r="U34" i="2" s="1"/>
  <c r="AA33" i="2" a="1"/>
  <c r="AA33" i="2" s="1"/>
  <c r="Z33" i="2" a="1"/>
  <c r="Z33" i="2" s="1"/>
  <c r="Y33" i="2" a="1"/>
  <c r="Y33" i="2" s="1"/>
  <c r="X33" i="2" a="1"/>
  <c r="X33" i="2" s="1"/>
  <c r="W33" i="2" a="1"/>
  <c r="W33" i="2" s="1"/>
  <c r="V33" i="2" a="1"/>
  <c r="V33" i="2" s="1"/>
  <c r="U33" i="2" a="1"/>
  <c r="U33" i="2" s="1"/>
  <c r="AA32" i="2" a="1"/>
  <c r="AA32" i="2" s="1"/>
  <c r="Z32" i="2" a="1"/>
  <c r="Z32" i="2" s="1"/>
  <c r="Y32" i="2" a="1"/>
  <c r="Y32" i="2" s="1"/>
  <c r="X32" i="2" a="1"/>
  <c r="X32" i="2" s="1"/>
  <c r="W32" i="2" a="1"/>
  <c r="W32" i="2" s="1"/>
  <c r="V32" i="2" a="1"/>
  <c r="V32" i="2" s="1"/>
  <c r="U32" i="2" a="1"/>
  <c r="U32" i="2" s="1"/>
  <c r="AA31" i="2" a="1"/>
  <c r="AA31" i="2" s="1"/>
  <c r="Z31" i="2" a="1"/>
  <c r="Z31" i="2" s="1"/>
  <c r="Y31" i="2" a="1"/>
  <c r="Y31" i="2" s="1"/>
  <c r="X31" i="2" a="1"/>
  <c r="X31" i="2" s="1"/>
  <c r="W31" i="2" a="1"/>
  <c r="W31" i="2" s="1"/>
  <c r="V31" i="2" a="1"/>
  <c r="V31" i="2" s="1"/>
  <c r="U31" i="2" a="1"/>
  <c r="U31" i="2" s="1"/>
  <c r="AA30" i="2" a="1"/>
  <c r="AA30" i="2" s="1"/>
  <c r="Z30" i="2" a="1"/>
  <c r="Z30" i="2" s="1"/>
  <c r="Y30" i="2" a="1"/>
  <c r="Y30" i="2" s="1"/>
  <c r="X30" i="2" a="1"/>
  <c r="X30" i="2" s="1"/>
  <c r="W30" i="2" a="1"/>
  <c r="W30" i="2" s="1"/>
  <c r="V30" i="2" a="1"/>
  <c r="V30" i="2" s="1"/>
  <c r="U30" i="2" a="1"/>
  <c r="U30" i="2" s="1"/>
  <c r="AA29" i="2" a="1"/>
  <c r="AA29" i="2" s="1"/>
  <c r="Z29" i="2" a="1"/>
  <c r="Z29" i="2" s="1"/>
  <c r="Y29" i="2" a="1"/>
  <c r="Y29" i="2" s="1"/>
  <c r="X29" i="2" a="1"/>
  <c r="X29" i="2" s="1"/>
  <c r="W29" i="2" a="1"/>
  <c r="W29" i="2" s="1"/>
  <c r="V29" i="2" a="1"/>
  <c r="V29" i="2" s="1"/>
  <c r="U29" i="2" a="1"/>
  <c r="U29" i="2" s="1"/>
  <c r="AA28" i="2" a="1"/>
  <c r="AA28" i="2" s="1"/>
  <c r="Z28" i="2" a="1"/>
  <c r="Z28" i="2" s="1"/>
  <c r="Y28" i="2" a="1"/>
  <c r="Y28" i="2" s="1"/>
  <c r="X28" i="2" a="1"/>
  <c r="X28" i="2" s="1"/>
  <c r="W28" i="2" a="1"/>
  <c r="W28" i="2" s="1"/>
  <c r="V28" i="2" a="1"/>
  <c r="V28" i="2" s="1"/>
  <c r="U28" i="2" a="1"/>
  <c r="U28" i="2" s="1"/>
  <c r="AA27" i="2" a="1"/>
  <c r="AA27" i="2" s="1"/>
  <c r="Z27" i="2" a="1"/>
  <c r="Z27" i="2" s="1"/>
  <c r="Y27" i="2" a="1"/>
  <c r="Y27" i="2" s="1"/>
  <c r="X27" i="2" a="1"/>
  <c r="X27" i="2" s="1"/>
  <c r="W27" i="2" a="1"/>
  <c r="W27" i="2" s="1"/>
  <c r="V27" i="2" a="1"/>
  <c r="V27" i="2" s="1"/>
  <c r="U27" i="2" a="1"/>
  <c r="U27" i="2" s="1"/>
  <c r="AA26" i="2" a="1"/>
  <c r="AA26" i="2" s="1"/>
  <c r="Z26" i="2" a="1"/>
  <c r="Z26" i="2" s="1"/>
  <c r="Y26" i="2" a="1"/>
  <c r="Y26" i="2" s="1"/>
  <c r="X26" i="2" a="1"/>
  <c r="X26" i="2" s="1"/>
  <c r="W26" i="2" a="1"/>
  <c r="W26" i="2" s="1"/>
  <c r="V26" i="2" a="1"/>
  <c r="V26" i="2" s="1"/>
  <c r="U26" i="2" a="1"/>
  <c r="U26" i="2" s="1"/>
  <c r="AA25" i="2" a="1"/>
  <c r="AA25" i="2" s="1"/>
  <c r="Z25" i="2" a="1"/>
  <c r="Z25" i="2" s="1"/>
  <c r="Y25" i="2" a="1"/>
  <c r="Y25" i="2" s="1"/>
  <c r="X25" i="2" a="1"/>
  <c r="X25" i="2" s="1"/>
  <c r="W25" i="2" a="1"/>
  <c r="W25" i="2" s="1"/>
  <c r="V25" i="2" a="1"/>
  <c r="V25" i="2" s="1"/>
  <c r="U25" i="2" a="1"/>
  <c r="U25" i="2" s="1"/>
  <c r="AA24" i="2" a="1"/>
  <c r="AA24" i="2" s="1"/>
  <c r="Z24" i="2" a="1"/>
  <c r="Z24" i="2" s="1"/>
  <c r="Y24" i="2" a="1"/>
  <c r="Y24" i="2" s="1"/>
  <c r="X24" i="2" a="1"/>
  <c r="X24" i="2" s="1"/>
  <c r="W24" i="2" a="1"/>
  <c r="W24" i="2" s="1"/>
  <c r="V24" i="2" a="1"/>
  <c r="V24" i="2" s="1"/>
  <c r="U24" i="2" a="1"/>
  <c r="U24" i="2" s="1"/>
  <c r="AA23" i="2" a="1"/>
  <c r="AA23" i="2" s="1"/>
  <c r="Z23" i="2" a="1"/>
  <c r="Z23" i="2" s="1"/>
  <c r="Y23" i="2" a="1"/>
  <c r="Y23" i="2" s="1"/>
  <c r="X23" i="2" a="1"/>
  <c r="X23" i="2" s="1"/>
  <c r="W23" i="2" a="1"/>
  <c r="W23" i="2" s="1"/>
  <c r="V23" i="2" a="1"/>
  <c r="V23" i="2" s="1"/>
  <c r="U23" i="2" a="1"/>
  <c r="U23" i="2" s="1"/>
  <c r="AA22" i="2" a="1"/>
  <c r="AA22" i="2" s="1"/>
  <c r="Z22" i="2" a="1"/>
  <c r="Z22" i="2" s="1"/>
  <c r="Y22" i="2" a="1"/>
  <c r="Y22" i="2" s="1"/>
  <c r="X22" i="2" a="1"/>
  <c r="X22" i="2" s="1"/>
  <c r="W22" i="2" a="1"/>
  <c r="W22" i="2" s="1"/>
  <c r="V22" i="2" a="1"/>
  <c r="V22" i="2" s="1"/>
  <c r="U22" i="2" a="1"/>
  <c r="U22" i="2" s="1"/>
  <c r="AA12" i="2" a="1"/>
  <c r="AA12" i="2" s="1"/>
  <c r="Z12" i="2" a="1"/>
  <c r="Z12" i="2" s="1"/>
  <c r="Y12" i="2" a="1"/>
  <c r="Y12" i="2" s="1"/>
  <c r="X12" i="2" a="1"/>
  <c r="X12" i="2" s="1"/>
  <c r="W12" i="2" a="1"/>
  <c r="W12" i="2" s="1"/>
  <c r="V12" i="2" a="1"/>
  <c r="V12" i="2" s="1"/>
  <c r="U12" i="2" a="1"/>
  <c r="U12" i="2" s="1"/>
  <c r="AA21" i="2"/>
  <c r="Z21" i="2"/>
  <c r="Y21" i="2"/>
  <c r="X21" i="2"/>
  <c r="W21" i="2"/>
  <c r="V21" i="2"/>
  <c r="U21" i="2"/>
  <c r="AA20" i="2"/>
  <c r="Z20" i="2"/>
  <c r="Y20" i="2"/>
  <c r="X20" i="2"/>
  <c r="W20" i="2"/>
  <c r="V20" i="2"/>
  <c r="U20" i="2"/>
  <c r="AA19" i="2"/>
  <c r="Z19" i="2"/>
  <c r="Y19" i="2"/>
  <c r="X19" i="2"/>
  <c r="W19" i="2"/>
  <c r="V19" i="2"/>
  <c r="U19" i="2"/>
  <c r="AA18" i="2"/>
  <c r="Z18" i="2"/>
  <c r="Y18" i="2"/>
  <c r="X18" i="2"/>
  <c r="W18" i="2"/>
  <c r="V18" i="2"/>
  <c r="U18" i="2"/>
  <c r="AA17" i="2"/>
  <c r="Z17" i="2"/>
  <c r="Y17" i="2"/>
  <c r="X17" i="2"/>
  <c r="W17" i="2"/>
  <c r="V17" i="2"/>
  <c r="U17" i="2"/>
  <c r="K35" i="2"/>
  <c r="K28" i="2"/>
  <c r="K29" i="2"/>
  <c r="K30" i="2"/>
  <c r="K31" i="2"/>
  <c r="K3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D32" i="2" l="1"/>
  <c r="D7" i="2"/>
  <c r="D31" i="2"/>
  <c r="G28" i="2"/>
  <c r="G31" i="2"/>
  <c r="D28" i="2"/>
  <c r="C24" i="2"/>
  <c r="D29" i="2"/>
  <c r="D30" i="2"/>
  <c r="F28" i="2"/>
  <c r="I31" i="2"/>
  <c r="H28" i="2"/>
  <c r="H31" i="2"/>
  <c r="E32" i="2"/>
  <c r="I32" i="2"/>
  <c r="H7" i="2"/>
  <c r="H29" i="2"/>
  <c r="D24" i="2"/>
  <c r="M8" i="2" s="1"/>
  <c r="G24" i="2"/>
  <c r="P11" i="2" s="1"/>
  <c r="F24" i="2"/>
  <c r="O11" i="2" s="1"/>
  <c r="F13" i="2"/>
  <c r="C7" i="2"/>
  <c r="F29" i="2"/>
  <c r="I13" i="2"/>
  <c r="I30" i="2"/>
  <c r="H32" i="2"/>
  <c r="H13" i="2"/>
  <c r="H30" i="2"/>
  <c r="G32" i="2"/>
  <c r="I7" i="2"/>
  <c r="G30" i="2"/>
  <c r="G13" i="2"/>
  <c r="F32" i="2"/>
  <c r="G7" i="2"/>
  <c r="I29" i="2"/>
  <c r="E30" i="2"/>
  <c r="E13" i="2"/>
  <c r="F7" i="2"/>
  <c r="D13" i="2"/>
  <c r="I24" i="2"/>
  <c r="R10" i="2" s="1"/>
  <c r="G29" i="2"/>
  <c r="H24" i="2"/>
  <c r="I28" i="2"/>
  <c r="Q17" i="2"/>
  <c r="E24" i="2"/>
  <c r="E29" i="2"/>
  <c r="M20" i="2"/>
  <c r="E28" i="2"/>
  <c r="C13" i="2"/>
  <c r="E31" i="2"/>
  <c r="E7" i="2"/>
  <c r="Q19" i="2" l="1"/>
  <c r="Q21" i="2"/>
  <c r="N9" i="2"/>
  <c r="N14" i="2"/>
  <c r="L3" i="3"/>
  <c r="V3" i="6" s="1"/>
  <c r="I22" i="6" s="1" a="1"/>
  <c r="I22" i="6" s="1"/>
  <c r="M9" i="2"/>
  <c r="N11" i="2"/>
  <c r="L32" i="2"/>
  <c r="M21" i="2"/>
  <c r="Q20" i="2"/>
  <c r="D35" i="2"/>
  <c r="M16" i="2"/>
  <c r="O18" i="2"/>
  <c r="O7" i="2"/>
  <c r="O10" i="2"/>
  <c r="M17" i="2"/>
  <c r="O9" i="2"/>
  <c r="N22" i="2"/>
  <c r="Q15" i="2"/>
  <c r="L16" i="2"/>
  <c r="O17" i="2"/>
  <c r="Q14" i="2"/>
  <c r="O13" i="2"/>
  <c r="H35" i="2"/>
  <c r="Q35" i="2" s="1"/>
  <c r="O12" i="2"/>
  <c r="O19" i="2"/>
  <c r="M15" i="2"/>
  <c r="N20" i="2"/>
  <c r="N17" i="2"/>
  <c r="N8" i="2"/>
  <c r="L10" i="2"/>
  <c r="N10" i="2"/>
  <c r="F35" i="2"/>
  <c r="O32" i="2" s="1"/>
  <c r="M22" i="2"/>
  <c r="L7" i="2"/>
  <c r="L22" i="2"/>
  <c r="L13" i="2"/>
  <c r="P7" i="2"/>
  <c r="L20" i="2"/>
  <c r="L15" i="2"/>
  <c r="Q11" i="2"/>
  <c r="L8" i="2"/>
  <c r="M13" i="2"/>
  <c r="R16" i="2"/>
  <c r="P18" i="2"/>
  <c r="Q16" i="2"/>
  <c r="Q23" i="2"/>
  <c r="Q22" i="2"/>
  <c r="Q10" i="2"/>
  <c r="Q24" i="2"/>
  <c r="Q8" i="2"/>
  <c r="Q9" i="2"/>
  <c r="Q18" i="2"/>
  <c r="I35" i="2"/>
  <c r="I36" i="2" s="1"/>
  <c r="R7" i="2"/>
  <c r="N7" i="2"/>
  <c r="Q12" i="2"/>
  <c r="Q13" i="2"/>
  <c r="Q7" i="2"/>
  <c r="M11" i="2"/>
  <c r="M18" i="2"/>
  <c r="M24" i="2"/>
  <c r="M14" i="2"/>
  <c r="M19" i="2"/>
  <c r="M10" i="2"/>
  <c r="M23" i="2"/>
  <c r="M12" i="2"/>
  <c r="R9" i="2"/>
  <c r="R24" i="2"/>
  <c r="R19" i="2"/>
  <c r="R12" i="2"/>
  <c r="R20" i="2"/>
  <c r="R11" i="2"/>
  <c r="R17" i="2"/>
  <c r="R18" i="2"/>
  <c r="R23" i="2"/>
  <c r="P12" i="2"/>
  <c r="R22" i="2"/>
  <c r="R8" i="2"/>
  <c r="L18" i="2"/>
  <c r="L9" i="2"/>
  <c r="L23" i="2"/>
  <c r="L24" i="2"/>
  <c r="L14" i="2"/>
  <c r="L19" i="2"/>
  <c r="L11" i="2"/>
  <c r="L12" i="2"/>
  <c r="L17" i="2"/>
  <c r="G35" i="2"/>
  <c r="P32" i="2" s="1"/>
  <c r="P8" i="2"/>
  <c r="L21" i="2"/>
  <c r="M7" i="2"/>
  <c r="P14" i="2"/>
  <c r="R14" i="2"/>
  <c r="P13" i="2"/>
  <c r="O20" i="2"/>
  <c r="O15" i="2"/>
  <c r="O8" i="2"/>
  <c r="O24" i="2"/>
  <c r="O16" i="2"/>
  <c r="O14" i="2"/>
  <c r="O22" i="2"/>
  <c r="O23" i="2"/>
  <c r="O21" i="2"/>
  <c r="E35" i="2"/>
  <c r="N30" i="2" s="1"/>
  <c r="N28" i="2"/>
  <c r="P23" i="2"/>
  <c r="P24" i="2"/>
  <c r="P22" i="2"/>
  <c r="P21" i="2"/>
  <c r="P17" i="2"/>
  <c r="P10" i="2"/>
  <c r="P9" i="2"/>
  <c r="P15" i="2"/>
  <c r="R21" i="2"/>
  <c r="N18" i="2"/>
  <c r="N19" i="2"/>
  <c r="N15" i="2"/>
  <c r="N24" i="2"/>
  <c r="N16" i="2"/>
  <c r="N21" i="2"/>
  <c r="N23" i="2"/>
  <c r="N12" i="2"/>
  <c r="N13" i="2"/>
  <c r="P19" i="2"/>
  <c r="R13" i="2"/>
  <c r="P20" i="2"/>
  <c r="R15" i="2"/>
  <c r="P16" i="2"/>
  <c r="E36" i="2"/>
  <c r="G22" i="6" l="1" a="1"/>
  <c r="G22" i="6" s="1"/>
  <c r="H22" i="6" a="1"/>
  <c r="H22" i="6" s="1"/>
  <c r="E22" i="6" a="1"/>
  <c r="E22" i="6" s="1"/>
  <c r="F22" i="6" a="1"/>
  <c r="F22" i="6" s="1"/>
  <c r="C22" i="6" a="1"/>
  <c r="C22" i="6" s="1"/>
  <c r="Q22" i="6" s="1"/>
  <c r="D22" i="6" a="1"/>
  <c r="D22" i="6" s="1"/>
  <c r="C21" i="6" a="1"/>
  <c r="C21" i="6" s="1"/>
  <c r="D21" i="6" a="1"/>
  <c r="D21" i="6" s="1"/>
  <c r="E21" i="6" a="1"/>
  <c r="E21" i="6" s="1"/>
  <c r="F21" i="6" a="1"/>
  <c r="F21" i="6" s="1"/>
  <c r="G21" i="6" a="1"/>
  <c r="G21" i="6" s="1"/>
  <c r="H21" i="6" a="1"/>
  <c r="H21" i="6" s="1"/>
  <c r="I21" i="6" a="1"/>
  <c r="I21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H20" i="6" a="1"/>
  <c r="H20" i="6" s="1"/>
  <c r="I20" i="6" a="1"/>
  <c r="I20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C17" i="6" a="1"/>
  <c r="C17" i="6" s="1"/>
  <c r="D17" i="6" a="1"/>
  <c r="D17" i="6" s="1"/>
  <c r="E17" i="6" a="1"/>
  <c r="E17" i="6" s="1"/>
  <c r="F17" i="6" a="1"/>
  <c r="F17" i="6" s="1"/>
  <c r="G17" i="6" a="1"/>
  <c r="G17" i="6" s="1"/>
  <c r="H17" i="6" a="1"/>
  <c r="H17" i="6" s="1"/>
  <c r="I17" i="6" a="1"/>
  <c r="I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H16" i="6" a="1"/>
  <c r="H16" i="6" s="1"/>
  <c r="I16" i="6" a="1"/>
  <c r="I16" i="6" s="1"/>
  <c r="F16" i="6" a="1"/>
  <c r="F16" i="6" s="1"/>
  <c r="G16" i="6" a="1"/>
  <c r="G16" i="6" s="1"/>
  <c r="P16" i="6" s="1"/>
  <c r="D16" i="6" a="1"/>
  <c r="D16" i="6" s="1"/>
  <c r="E16" i="6" a="1"/>
  <c r="E16" i="6" s="1"/>
  <c r="C16" i="6" a="1"/>
  <c r="C16" i="6" s="1"/>
  <c r="H15" i="6" a="1"/>
  <c r="H15" i="6" s="1"/>
  <c r="I15" i="6" a="1"/>
  <c r="I15" i="6" s="1"/>
  <c r="R15" i="6" s="1"/>
  <c r="F15" i="6" a="1"/>
  <c r="F15" i="6" s="1"/>
  <c r="O15" i="6" s="1"/>
  <c r="G15" i="6" a="1"/>
  <c r="G15" i="6" s="1"/>
  <c r="P15" i="6" s="1"/>
  <c r="D15" i="6" a="1"/>
  <c r="D15" i="6" s="1"/>
  <c r="M15" i="6" s="1"/>
  <c r="E15" i="6" a="1"/>
  <c r="E15" i="6" s="1"/>
  <c r="N15" i="6" s="1"/>
  <c r="C15" i="6" a="1"/>
  <c r="C15" i="6" s="1"/>
  <c r="L15" i="6" s="1"/>
  <c r="Q15" i="6"/>
  <c r="I14" i="6" a="1"/>
  <c r="I14" i="6" s="1"/>
  <c r="R14" i="6" s="1"/>
  <c r="G14" i="6" a="1"/>
  <c r="G14" i="6" s="1"/>
  <c r="P14" i="6" s="1"/>
  <c r="H14" i="6" a="1"/>
  <c r="H14" i="6" s="1"/>
  <c r="Q14" i="6" s="1"/>
  <c r="E14" i="6" a="1"/>
  <c r="E14" i="6" s="1"/>
  <c r="N14" i="6" s="1"/>
  <c r="F14" i="6" a="1"/>
  <c r="F14" i="6" s="1"/>
  <c r="O14" i="6" s="1"/>
  <c r="C14" i="6" a="1"/>
  <c r="C14" i="6" s="1"/>
  <c r="L14" i="6" s="1"/>
  <c r="D14" i="6" a="1"/>
  <c r="D14" i="6" s="1"/>
  <c r="M14" i="6" s="1"/>
  <c r="D23" i="4" s="1" a="1"/>
  <c r="D23" i="4" s="1"/>
  <c r="D23" i="7" s="1"/>
  <c r="C11" i="6" a="1"/>
  <c r="C11" i="6" s="1"/>
  <c r="L11" i="6" s="1"/>
  <c r="D11" i="6" a="1"/>
  <c r="D11" i="6" s="1"/>
  <c r="M11" i="6" s="1"/>
  <c r="D20" i="4" s="1" a="1"/>
  <c r="D20" i="4" s="1"/>
  <c r="D20" i="7" s="1"/>
  <c r="E11" i="6" a="1"/>
  <c r="E11" i="6" s="1"/>
  <c r="N11" i="6" s="1"/>
  <c r="F11" i="6" a="1"/>
  <c r="F11" i="6" s="1"/>
  <c r="O11" i="6" s="1"/>
  <c r="G11" i="6" a="1"/>
  <c r="G11" i="6" s="1"/>
  <c r="P11" i="6" s="1"/>
  <c r="H11" i="6" a="1"/>
  <c r="H11" i="6" s="1"/>
  <c r="Q11" i="6" s="1"/>
  <c r="I11" i="6" a="1"/>
  <c r="I11" i="6" s="1"/>
  <c r="R11" i="6" s="1"/>
  <c r="C12" i="6" a="1"/>
  <c r="C12" i="6" s="1"/>
  <c r="L12" i="6" s="1"/>
  <c r="D12" i="6" a="1"/>
  <c r="D12" i="6" s="1"/>
  <c r="M12" i="6" s="1"/>
  <c r="F12" i="6" a="1"/>
  <c r="F12" i="6" s="1"/>
  <c r="O12" i="6" s="1"/>
  <c r="I12" i="6" a="1"/>
  <c r="I12" i="6" s="1"/>
  <c r="R12" i="6" s="1"/>
  <c r="E13" i="6" a="1"/>
  <c r="E13" i="6" s="1"/>
  <c r="N13" i="6" s="1"/>
  <c r="E12" i="6" a="1"/>
  <c r="E12" i="6" s="1"/>
  <c r="N12" i="6" s="1"/>
  <c r="H12" i="6" a="1"/>
  <c r="H12" i="6" s="1"/>
  <c r="Q12" i="6" s="1"/>
  <c r="D13" i="6" a="1"/>
  <c r="D13" i="6" s="1"/>
  <c r="M13" i="6" s="1"/>
  <c r="G13" i="6" a="1"/>
  <c r="G13" i="6" s="1"/>
  <c r="P13" i="6" s="1"/>
  <c r="G12" i="6" a="1"/>
  <c r="G12" i="6" s="1"/>
  <c r="P12" i="6" s="1"/>
  <c r="C13" i="6" a="1"/>
  <c r="C13" i="6" s="1"/>
  <c r="L13" i="6" s="1"/>
  <c r="F13" i="6" a="1"/>
  <c r="F13" i="6" s="1"/>
  <c r="O13" i="6" s="1"/>
  <c r="I13" i="6" a="1"/>
  <c r="I13" i="6" s="1"/>
  <c r="R13" i="6" s="1"/>
  <c r="H13" i="6" a="1"/>
  <c r="H13" i="6" s="1"/>
  <c r="Q13" i="6" s="1"/>
  <c r="H10" i="6" a="1"/>
  <c r="H10" i="6" s="1"/>
  <c r="Q10" i="6" s="1"/>
  <c r="I10" i="6" a="1"/>
  <c r="I10" i="6" s="1"/>
  <c r="R10" i="6" s="1"/>
  <c r="G10" i="6" a="1"/>
  <c r="G10" i="6" s="1"/>
  <c r="P10" i="6" s="1"/>
  <c r="E10" i="6" a="1"/>
  <c r="E10" i="6" s="1"/>
  <c r="N10" i="6" s="1"/>
  <c r="F10" i="6" a="1"/>
  <c r="F10" i="6" s="1"/>
  <c r="O10" i="6" s="1"/>
  <c r="C10" i="6" a="1"/>
  <c r="C10" i="6" s="1"/>
  <c r="L10" i="6" s="1"/>
  <c r="D10" i="6" a="1"/>
  <c r="D10" i="6" s="1"/>
  <c r="M10" i="6" s="1"/>
  <c r="I8" i="6" a="1"/>
  <c r="I8" i="6" s="1"/>
  <c r="R8" i="6" s="1"/>
  <c r="C9" i="6" a="1"/>
  <c r="C9" i="6" s="1"/>
  <c r="L9" i="6" s="1"/>
  <c r="D9" i="6" a="1"/>
  <c r="D9" i="6" s="1"/>
  <c r="M9" i="6" s="1"/>
  <c r="D18" i="4" s="1" a="1"/>
  <c r="D18" i="4" s="1"/>
  <c r="D18" i="7" s="1"/>
  <c r="E9" i="6" a="1"/>
  <c r="E9" i="6" s="1"/>
  <c r="N9" i="6" s="1"/>
  <c r="F9" i="6" a="1"/>
  <c r="F9" i="6" s="1"/>
  <c r="O9" i="6" s="1"/>
  <c r="G9" i="6" a="1"/>
  <c r="G9" i="6" s="1"/>
  <c r="P9" i="6" s="1"/>
  <c r="H9" i="6" a="1"/>
  <c r="H9" i="6" s="1"/>
  <c r="Q9" i="6" s="1"/>
  <c r="I9" i="6" a="1"/>
  <c r="I9" i="6" s="1"/>
  <c r="R9" i="6" s="1"/>
  <c r="G8" i="6" a="1"/>
  <c r="G8" i="6" s="1"/>
  <c r="P8" i="6" s="1"/>
  <c r="H8" i="6" a="1"/>
  <c r="H8" i="6" s="1"/>
  <c r="Q8" i="6" s="1"/>
  <c r="E8" i="6" a="1"/>
  <c r="E8" i="6" s="1"/>
  <c r="N8" i="6" s="1"/>
  <c r="F8" i="6" a="1"/>
  <c r="F8" i="6" s="1"/>
  <c r="O8" i="6" s="1"/>
  <c r="C8" i="6" a="1"/>
  <c r="C8" i="6" s="1"/>
  <c r="L8" i="6" s="1"/>
  <c r="D8" i="6" a="1"/>
  <c r="D8" i="6" s="1"/>
  <c r="M8" i="6" s="1"/>
  <c r="D35" i="4" s="1" a="1"/>
  <c r="D35" i="4" s="1"/>
  <c r="D35" i="7" s="1"/>
  <c r="I7" i="6" a="1"/>
  <c r="I7" i="6" s="1"/>
  <c r="R7" i="6" s="1"/>
  <c r="G7" i="6" a="1"/>
  <c r="G7" i="6" s="1"/>
  <c r="P7" i="6" s="1"/>
  <c r="H7" i="6" a="1"/>
  <c r="H7" i="6" s="1"/>
  <c r="E7" i="6" a="1"/>
  <c r="E7" i="6" s="1"/>
  <c r="N7" i="6" s="1"/>
  <c r="F7" i="6" a="1"/>
  <c r="F7" i="6" s="1"/>
  <c r="O7" i="6" s="1"/>
  <c r="C7" i="6" a="1"/>
  <c r="C7" i="6" s="1"/>
  <c r="L7" i="6" s="1"/>
  <c r="D7" i="6" a="1"/>
  <c r="D7" i="6" s="1"/>
  <c r="M7" i="6" s="1"/>
  <c r="Q7" i="6"/>
  <c r="H6" i="6" a="1"/>
  <c r="H6" i="6" s="1"/>
  <c r="I6" i="6" a="1"/>
  <c r="I6" i="6" s="1"/>
  <c r="F6" i="6" a="1"/>
  <c r="F6" i="6" s="1"/>
  <c r="G6" i="6" a="1"/>
  <c r="G6" i="6" s="1"/>
  <c r="P6" i="6" s="1"/>
  <c r="D6" i="6" a="1"/>
  <c r="D6" i="6" s="1"/>
  <c r="E6" i="6" a="1"/>
  <c r="E6" i="6" s="1"/>
  <c r="N6" i="6" s="1"/>
  <c r="C6" i="6" a="1"/>
  <c r="C6" i="6" s="1"/>
  <c r="I5" i="6" a="1"/>
  <c r="I5" i="6" s="1"/>
  <c r="G5" i="6" a="1"/>
  <c r="G5" i="6" s="1"/>
  <c r="H5" i="6" a="1"/>
  <c r="H5" i="6" s="1"/>
  <c r="E5" i="6" a="1"/>
  <c r="E5" i="6" s="1"/>
  <c r="F5" i="6" a="1"/>
  <c r="F5" i="6" s="1"/>
  <c r="C4" i="6" a="1"/>
  <c r="C4" i="6" s="1"/>
  <c r="C5" i="6" a="1"/>
  <c r="C5" i="6" s="1"/>
  <c r="D5" i="6" a="1"/>
  <c r="D5" i="6" s="1"/>
  <c r="D4" i="6" a="1"/>
  <c r="D4" i="6" s="1"/>
  <c r="E4" i="6" a="1"/>
  <c r="E4" i="6" s="1"/>
  <c r="F4" i="6" a="1"/>
  <c r="F4" i="6" s="1"/>
  <c r="G4" i="6" a="1"/>
  <c r="G4" i="6" s="1"/>
  <c r="H4" i="6" a="1"/>
  <c r="H4" i="6" s="1"/>
  <c r="I4" i="6" a="1"/>
  <c r="I4" i="6" s="1"/>
  <c r="I3" i="6" a="1"/>
  <c r="I3" i="6" s="1"/>
  <c r="C3" i="6" a="1"/>
  <c r="C3" i="6" s="1"/>
  <c r="G3" i="6" a="1"/>
  <c r="G3" i="6" s="1"/>
  <c r="H3" i="6" a="1"/>
  <c r="H3" i="6" s="1"/>
  <c r="F3" i="6" a="1"/>
  <c r="F3" i="6" s="1"/>
  <c r="E3" i="6" a="1"/>
  <c r="E3" i="6" s="1"/>
  <c r="D3" i="6" a="1"/>
  <c r="D3" i="6" s="1"/>
  <c r="P22" i="6"/>
  <c r="L29" i="2"/>
  <c r="N31" i="2"/>
  <c r="L31" i="2"/>
  <c r="L30" i="2"/>
  <c r="L28" i="2"/>
  <c r="R28" i="2"/>
  <c r="O29" i="2"/>
  <c r="R29" i="2"/>
  <c r="L35" i="2"/>
  <c r="L5" i="3"/>
  <c r="P29" i="2"/>
  <c r="F36" i="2"/>
  <c r="M31" i="2"/>
  <c r="M32" i="2"/>
  <c r="Q31" i="2"/>
  <c r="D36" i="2"/>
  <c r="Q30" i="2"/>
  <c r="Q32" i="2"/>
  <c r="O28" i="2"/>
  <c r="O30" i="2"/>
  <c r="O35" i="2"/>
  <c r="Q29" i="2"/>
  <c r="M28" i="2"/>
  <c r="Q28" i="2"/>
  <c r="H36" i="2"/>
  <c r="O31" i="2"/>
  <c r="C36" i="2"/>
  <c r="R35" i="2"/>
  <c r="R31" i="2"/>
  <c r="R32" i="2"/>
  <c r="G36" i="2"/>
  <c r="R30" i="2"/>
  <c r="P30" i="2"/>
  <c r="M30" i="2"/>
  <c r="N35" i="2"/>
  <c r="N32" i="2"/>
  <c r="M35" i="2"/>
  <c r="M29" i="2"/>
  <c r="N29" i="2"/>
  <c r="E10" i="3" s="1"/>
  <c r="P35" i="2"/>
  <c r="P28" i="2"/>
  <c r="P31" i="2"/>
  <c r="D34" i="4" l="1" a="1"/>
  <c r="D34" i="4" s="1"/>
  <c r="D34" i="7" s="1"/>
  <c r="Q21" i="6"/>
  <c r="P17" i="6"/>
  <c r="P20" i="6"/>
  <c r="D38" i="4" a="1"/>
  <c r="D38" i="4" s="1"/>
  <c r="D38" i="7" s="1"/>
  <c r="D40" i="4" a="1"/>
  <c r="D40" i="4" s="1"/>
  <c r="D40" i="7" s="1"/>
  <c r="D22" i="4" a="1"/>
  <c r="D22" i="4" s="1"/>
  <c r="D22" i="7" s="1"/>
  <c r="D37" i="4" a="1"/>
  <c r="D37" i="4" s="1"/>
  <c r="D37" i="7" s="1"/>
  <c r="D19" i="4" a="1"/>
  <c r="D19" i="4" s="1"/>
  <c r="D19" i="7" s="1"/>
  <c r="D39" i="4" a="1"/>
  <c r="D39" i="4" s="1"/>
  <c r="D39" i="7" s="1"/>
  <c r="D21" i="4" a="1"/>
  <c r="D21" i="4" s="1"/>
  <c r="D21" i="7" s="1"/>
  <c r="D17" i="4" a="1"/>
  <c r="D17" i="4" s="1"/>
  <c r="D17" i="7" s="1"/>
  <c r="D24" i="4" a="1"/>
  <c r="D24" i="4" s="1"/>
  <c r="D24" i="7" s="1"/>
  <c r="R5" i="6"/>
  <c r="Q18" i="6"/>
  <c r="P19" i="6"/>
  <c r="R17" i="6"/>
  <c r="M5" i="6"/>
  <c r="R21" i="6"/>
  <c r="N4" i="6"/>
  <c r="O19" i="6"/>
  <c r="R19" i="6"/>
  <c r="R16" i="6"/>
  <c r="L4" i="6"/>
  <c r="Q3" i="6"/>
  <c r="P5" i="6"/>
  <c r="Q16" i="6"/>
  <c r="Q19" i="6"/>
  <c r="P3" i="6"/>
  <c r="R4" i="6"/>
  <c r="O5" i="6"/>
  <c r="O6" i="6"/>
  <c r="L3" i="6"/>
  <c r="Q5" i="6"/>
  <c r="R6" i="6"/>
  <c r="O21" i="6"/>
  <c r="N18" i="6"/>
  <c r="R18" i="6"/>
  <c r="Q4" i="6"/>
  <c r="L5" i="6"/>
  <c r="R22" i="6"/>
  <c r="M20" i="6"/>
  <c r="L20" i="4" s="1" a="1"/>
  <c r="L20" i="4" s="1"/>
  <c r="L20" i="7" s="1"/>
  <c r="M19" i="6"/>
  <c r="L18" i="6"/>
  <c r="M21" i="6"/>
  <c r="L21" i="4" s="1" a="1"/>
  <c r="L21" i="4" s="1"/>
  <c r="L21" i="7" s="1"/>
  <c r="O17" i="6"/>
  <c r="N16" i="6"/>
  <c r="D16" i="4" a="1"/>
  <c r="D16" i="4" s="1"/>
  <c r="D16" i="7" s="1"/>
  <c r="M3" i="6"/>
  <c r="O4" i="6"/>
  <c r="M4" i="6"/>
  <c r="L6" i="6"/>
  <c r="P18" i="6"/>
  <c r="L19" i="6"/>
  <c r="O16" i="6"/>
  <c r="N3" i="6"/>
  <c r="M6" i="6"/>
  <c r="N22" i="6"/>
  <c r="L22" i="6"/>
  <c r="N21" i="6"/>
  <c r="L21" i="6"/>
  <c r="O20" i="6"/>
  <c r="N20" i="6"/>
  <c r="L20" i="6"/>
  <c r="N19" i="6"/>
  <c r="O18" i="6"/>
  <c r="M17" i="6"/>
  <c r="L17" i="6"/>
  <c r="M16" i="6"/>
  <c r="O3" i="6"/>
  <c r="R3" i="6"/>
  <c r="P4" i="6"/>
  <c r="Q6" i="6"/>
  <c r="Q20" i="6"/>
  <c r="O22" i="6"/>
  <c r="N5" i="6"/>
  <c r="R20" i="6"/>
  <c r="N17" i="6"/>
  <c r="M18" i="6"/>
  <c r="L18" i="4" s="1" a="1"/>
  <c r="L18" i="4" s="1"/>
  <c r="L18" i="7" s="1"/>
  <c r="Q17" i="6"/>
  <c r="M22" i="6"/>
  <c r="L22" i="4" s="1" a="1"/>
  <c r="L22" i="4" s="1"/>
  <c r="L22" i="7" s="1"/>
  <c r="P21" i="6"/>
  <c r="L16" i="6"/>
  <c r="D36" i="4" a="1"/>
  <c r="D36" i="4" s="1"/>
  <c r="D36" i="7" s="1"/>
  <c r="H16" i="4" a="1"/>
  <c r="H16" i="4" s="1"/>
  <c r="H16" i="7" s="1"/>
  <c r="C2" i="3"/>
  <c r="I18" i="3"/>
  <c r="L36" i="4" a="1"/>
  <c r="L36" i="4" s="1"/>
  <c r="L36" i="7" s="1"/>
  <c r="F26" i="3"/>
  <c r="F3" i="3"/>
  <c r="F6" i="3"/>
  <c r="E14" i="3"/>
  <c r="E2" i="3"/>
  <c r="E4" i="3"/>
  <c r="E15" i="3"/>
  <c r="E20" i="3"/>
  <c r="D20" i="3"/>
  <c r="C9" i="3"/>
  <c r="G3" i="3"/>
  <c r="B26" i="2"/>
  <c r="G21" i="3"/>
  <c r="G23" i="3"/>
  <c r="D6" i="3"/>
  <c r="D11" i="3"/>
  <c r="D16" i="3"/>
  <c r="D21" i="3"/>
  <c r="D26" i="3"/>
  <c r="H11" i="3"/>
  <c r="H16" i="3"/>
  <c r="H6" i="3"/>
  <c r="H26" i="3"/>
  <c r="H21" i="3"/>
  <c r="C26" i="3"/>
  <c r="C11" i="3"/>
  <c r="C21" i="3"/>
  <c r="C6" i="3"/>
  <c r="C16" i="3"/>
  <c r="F11" i="3"/>
  <c r="H25" i="3"/>
  <c r="H10" i="3"/>
  <c r="H20" i="3"/>
  <c r="H15" i="3"/>
  <c r="H5" i="3"/>
  <c r="E11" i="3"/>
  <c r="E21" i="3"/>
  <c r="E16" i="3"/>
  <c r="E26" i="3"/>
  <c r="E6" i="3"/>
  <c r="C25" i="3"/>
  <c r="C20" i="3"/>
  <c r="C5" i="3"/>
  <c r="C15" i="3"/>
  <c r="C10" i="3"/>
  <c r="E9" i="3"/>
  <c r="F21" i="3"/>
  <c r="E25" i="3"/>
  <c r="E12" i="3"/>
  <c r="G8" i="3"/>
  <c r="C22" i="3"/>
  <c r="C12" i="3"/>
  <c r="C17" i="3"/>
  <c r="C7" i="3"/>
  <c r="E24" i="3"/>
  <c r="F16" i="3"/>
  <c r="H23" i="3"/>
  <c r="H3" i="3"/>
  <c r="H18" i="3"/>
  <c r="H13" i="3"/>
  <c r="H8" i="3"/>
  <c r="E17" i="3"/>
  <c r="G13" i="3"/>
  <c r="D19" i="3"/>
  <c r="D9" i="3"/>
  <c r="D14" i="3"/>
  <c r="D24" i="3"/>
  <c r="D4" i="3"/>
  <c r="E19" i="3"/>
  <c r="E22" i="3"/>
  <c r="G18" i="3"/>
  <c r="G19" i="3"/>
  <c r="G4" i="3"/>
  <c r="G24" i="3"/>
  <c r="G9" i="3"/>
  <c r="G14" i="3"/>
  <c r="F25" i="3"/>
  <c r="F20" i="3"/>
  <c r="F15" i="3"/>
  <c r="F10" i="3"/>
  <c r="F5" i="3"/>
  <c r="H12" i="3"/>
  <c r="H2" i="3"/>
  <c r="H17" i="3"/>
  <c r="H22" i="3"/>
  <c r="H7" i="3"/>
  <c r="G11" i="3"/>
  <c r="F9" i="3"/>
  <c r="F4" i="3"/>
  <c r="F14" i="3"/>
  <c r="F19" i="3"/>
  <c r="F24" i="3"/>
  <c r="E7" i="3"/>
  <c r="I7" i="3"/>
  <c r="F12" i="3"/>
  <c r="F7" i="3"/>
  <c r="F2" i="3"/>
  <c r="F17" i="3"/>
  <c r="F22" i="3"/>
  <c r="H19" i="3"/>
  <c r="H9" i="3"/>
  <c r="H4" i="3"/>
  <c r="H14" i="3"/>
  <c r="H24" i="3"/>
  <c r="G5" i="3"/>
  <c r="G25" i="3"/>
  <c r="G20" i="3"/>
  <c r="G15" i="3"/>
  <c r="G10" i="3"/>
  <c r="I22" i="3"/>
  <c r="G16" i="3"/>
  <c r="D25" i="3"/>
  <c r="I16" i="3"/>
  <c r="I21" i="3"/>
  <c r="I11" i="3"/>
  <c r="I26" i="3"/>
  <c r="I6" i="3"/>
  <c r="C14" i="3"/>
  <c r="I13" i="3"/>
  <c r="F8" i="3"/>
  <c r="I2" i="3"/>
  <c r="F13" i="3"/>
  <c r="I12" i="3"/>
  <c r="C24" i="3"/>
  <c r="F18" i="3"/>
  <c r="I9" i="3"/>
  <c r="I4" i="3"/>
  <c r="I14" i="3"/>
  <c r="I24" i="3"/>
  <c r="I19" i="3"/>
  <c r="C4" i="3"/>
  <c r="I8" i="3"/>
  <c r="G7" i="3"/>
  <c r="G2" i="3"/>
  <c r="G17" i="3"/>
  <c r="G22" i="3"/>
  <c r="G12" i="3"/>
  <c r="I17" i="3"/>
  <c r="G6" i="3"/>
  <c r="D15" i="3"/>
  <c r="I5" i="3"/>
  <c r="I25" i="3"/>
  <c r="I20" i="3"/>
  <c r="I10" i="3"/>
  <c r="I15" i="3"/>
  <c r="C19" i="3"/>
  <c r="G26" i="3"/>
  <c r="I3" i="3"/>
  <c r="D10" i="3"/>
  <c r="E8" i="3"/>
  <c r="E18" i="3"/>
  <c r="E13" i="3"/>
  <c r="E23" i="3"/>
  <c r="E3" i="3"/>
  <c r="D13" i="3"/>
  <c r="D23" i="3"/>
  <c r="D3" i="3"/>
  <c r="D8" i="3"/>
  <c r="D18" i="3"/>
  <c r="C18" i="3"/>
  <c r="C3" i="3"/>
  <c r="C8" i="3"/>
  <c r="C23" i="3"/>
  <c r="C13" i="3"/>
  <c r="D2" i="3"/>
  <c r="D7" i="3"/>
  <c r="D12" i="3"/>
  <c r="D17" i="3"/>
  <c r="D22" i="3"/>
  <c r="E5" i="3"/>
  <c r="I23" i="3"/>
  <c r="F23" i="3"/>
  <c r="D5" i="3"/>
  <c r="B5" i="2"/>
  <c r="H17" i="4" l="1" a="1"/>
  <c r="H17" i="4" s="1"/>
  <c r="H17" i="7" s="1"/>
  <c r="L17" i="4" a="1"/>
  <c r="L17" i="4" s="1"/>
  <c r="L17" i="7" s="1"/>
  <c r="H34" i="4" a="1"/>
  <c r="H34" i="4" s="1"/>
  <c r="H34" i="7" s="1"/>
  <c r="L19" i="4" a="1"/>
  <c r="L19" i="4" s="1"/>
  <c r="L19" i="7" s="1"/>
  <c r="H35" i="4" a="1"/>
  <c r="H35" i="4" s="1"/>
  <c r="H35" i="7" s="1"/>
  <c r="L35" i="4" a="1"/>
  <c r="L35" i="4" s="1"/>
  <c r="L35" i="7" s="1"/>
  <c r="L37" i="4" a="1"/>
  <c r="L37" i="4" s="1"/>
  <c r="L37" i="7" s="1"/>
  <c r="L34" i="4" a="1"/>
  <c r="L34" i="4" s="1"/>
  <c r="L34" i="7" s="1"/>
  <c r="L38" i="4" a="1"/>
  <c r="L38" i="4" s="1"/>
  <c r="L38" i="7" s="1"/>
  <c r="L16" i="4" a="1"/>
  <c r="L16" i="4" s="1"/>
  <c r="L16" i="7" s="1"/>
  <c r="D12" i="4" a="1"/>
  <c r="D12" i="4" s="1"/>
  <c r="D12" i="7" s="1"/>
  <c r="D11" i="4" a="1"/>
  <c r="D11" i="4" s="1"/>
  <c r="D11" i="7" s="1"/>
  <c r="D10" i="4" a="1"/>
  <c r="D10" i="4" s="1"/>
  <c r="D10" i="7" s="1"/>
  <c r="D9" i="4" a="1"/>
  <c r="D9" i="4" s="1"/>
  <c r="D9" i="7" s="1"/>
  <c r="L13" i="4" a="1"/>
  <c r="L13" i="4" s="1"/>
  <c r="L13" i="7" s="1"/>
  <c r="J9" i="4" a="1"/>
  <c r="J9" i="4" s="1"/>
  <c r="J9" i="7" s="1"/>
  <c r="D13" i="4" a="1"/>
  <c r="D13" i="4" s="1"/>
  <c r="D13" i="7" s="1"/>
  <c r="F9" i="4" a="1"/>
  <c r="F9" i="4" s="1"/>
  <c r="F9" i="7" s="1"/>
  <c r="F13" i="4" a="1"/>
  <c r="F13" i="4" s="1"/>
  <c r="F13" i="7" s="1"/>
  <c r="L12" i="4" a="1"/>
  <c r="L12" i="4" s="1"/>
  <c r="L12" i="7" s="1"/>
  <c r="J13" i="4" a="1"/>
  <c r="J13" i="4" s="1"/>
  <c r="J13" i="7" s="1"/>
  <c r="L9" i="4" a="1"/>
  <c r="L9" i="4" s="1"/>
  <c r="L9" i="7" s="1"/>
  <c r="H13" i="4" a="1"/>
  <c r="H13" i="4" s="1"/>
  <c r="H13" i="7" s="1"/>
  <c r="H9" i="4" a="1"/>
  <c r="H9" i="4" s="1"/>
  <c r="H9" i="7" s="1"/>
  <c r="L11" i="4" a="1"/>
  <c r="L11" i="4" s="1"/>
  <c r="L11" i="7" s="1"/>
  <c r="L10" i="4" a="1"/>
  <c r="L10" i="4" s="1"/>
  <c r="L10" i="7" s="1"/>
  <c r="H10" i="4" a="1"/>
  <c r="H10" i="4" s="1"/>
  <c r="H10" i="7" s="1"/>
  <c r="F11" i="4" a="1"/>
  <c r="F11" i="4" s="1"/>
  <c r="F11" i="7" s="1"/>
  <c r="J10" i="4" a="1"/>
  <c r="J10" i="4" s="1"/>
  <c r="J10" i="7" s="1"/>
  <c r="F10" i="4" a="1"/>
  <c r="F10" i="4" s="1"/>
  <c r="F10" i="7" s="1"/>
  <c r="J11" i="4" a="1"/>
  <c r="J11" i="4" s="1"/>
  <c r="J11" i="7" s="1"/>
  <c r="H12" i="4" a="1"/>
  <c r="H12" i="4" s="1"/>
  <c r="H12" i="7" s="1"/>
  <c r="J12" i="4" a="1"/>
  <c r="J12" i="4" s="1"/>
  <c r="J12" i="7" s="1"/>
  <c r="F12" i="4" a="1"/>
  <c r="F12" i="4" s="1"/>
  <c r="F12" i="7" s="1"/>
  <c r="H11" i="4" a="1"/>
  <c r="H11" i="4" s="1"/>
  <c r="H11" i="7" s="1"/>
  <c r="J14" i="3"/>
  <c r="J7" i="3"/>
  <c r="J18" i="3"/>
  <c r="J17" i="3"/>
  <c r="J22" i="3"/>
  <c r="J12" i="3"/>
  <c r="J6" i="3"/>
  <c r="J16" i="3"/>
  <c r="J23" i="3"/>
  <c r="J21" i="3"/>
  <c r="J5" i="3"/>
  <c r="J2" i="3"/>
  <c r="J13" i="3"/>
  <c r="J15" i="3"/>
  <c r="J4" i="3"/>
  <c r="J3" i="3"/>
  <c r="J25" i="3"/>
  <c r="J10" i="3"/>
  <c r="J20" i="3"/>
  <c r="J24" i="3"/>
  <c r="J19" i="3"/>
  <c r="J11" i="3"/>
  <c r="J9" i="3"/>
  <c r="J8" i="3"/>
  <c r="J26" i="3"/>
  <c r="D43" i="7" l="1"/>
  <c r="H43" i="7"/>
  <c r="L43" i="7"/>
  <c r="F43" i="7"/>
  <c r="J43" i="7"/>
  <c r="L43" i="4"/>
  <c r="H43" i="4"/>
  <c r="D43" i="4"/>
  <c r="F43" i="4"/>
  <c r="J4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<sst xmlns="http://schemas.openxmlformats.org/spreadsheetml/2006/main" count="1977" uniqueCount="366">
  <si>
    <t>Textbox2</t>
  </si>
  <si>
    <t>Textbox7</t>
  </si>
  <si>
    <t>Textbox1</t>
  </si>
  <si>
    <t>Textbox5</t>
  </si>
  <si>
    <t>Textbox3</t>
  </si>
  <si>
    <t>Textbox8</t>
  </si>
  <si>
    <t>Textbox9</t>
  </si>
  <si>
    <t>Textbox10</t>
  </si>
  <si>
    <t>Textbox11</t>
  </si>
  <si>
    <t>Textbox12</t>
  </si>
  <si>
    <t>ItemCode</t>
  </si>
  <si>
    <t>Description</t>
  </si>
  <si>
    <t>Unit</t>
  </si>
  <si>
    <t>Day1</t>
  </si>
  <si>
    <t>Day2</t>
  </si>
  <si>
    <t>Day3</t>
  </si>
  <si>
    <t>Day4</t>
  </si>
  <si>
    <t>Day5</t>
  </si>
  <si>
    <t>Day6</t>
  </si>
  <si>
    <t>Day7</t>
  </si>
  <si>
    <t>Item Code</t>
  </si>
  <si>
    <t>Item</t>
  </si>
  <si>
    <t>Monday
29-Jun-26</t>
  </si>
  <si>
    <t>Tuesday
30-Jun-26</t>
  </si>
  <si>
    <t>Wednesday
01-Jul-26</t>
  </si>
  <si>
    <t>Thursday
02-Jul-26</t>
  </si>
  <si>
    <t>Friday
03-Jul-26</t>
  </si>
  <si>
    <t>Saturday
04-Jul-26</t>
  </si>
  <si>
    <t>Sunday
05-Jul-26</t>
  </si>
  <si>
    <t>260 x 260mm Baking Paper Golden Silidor</t>
  </si>
  <si>
    <t>CARTON-1000</t>
  </si>
  <si>
    <t>4OZ PORTION CUP 50EA</t>
  </si>
  <si>
    <t>PACK-50</t>
  </si>
  <si>
    <t>4OZ PORTION CUP LID 50EA</t>
  </si>
  <si>
    <t>BAG CHIPS LARGE</t>
  </si>
  <si>
    <t>CARTON-3000</t>
  </si>
  <si>
    <t>BAG CHIPS REGULAR</t>
  </si>
  <si>
    <t>BAG CRUNCHWRAP</t>
  </si>
  <si>
    <t>CARTON-2000</t>
  </si>
  <si>
    <t>BAG NACHO CHIPS LARGE</t>
  </si>
  <si>
    <t>CARTON-500</t>
  </si>
  <si>
    <t>BAG TAKEAWAY BROWN LARGE 2</t>
  </si>
  <si>
    <t>CARTON-250</t>
  </si>
  <si>
    <t>BAG TAKEAWAY BROWN MEDIUM</t>
  </si>
  <si>
    <t>BAG TAKEAWAY BROWN SMALL</t>
  </si>
  <si>
    <t>BEANS BLACK COOKED</t>
  </si>
  <si>
    <t>CARTON-12x1KG</t>
  </si>
  <si>
    <t>BIG BELL BOX 2</t>
  </si>
  <si>
    <t>CANTINA BROWN BOX</t>
  </si>
  <si>
    <t>CARTON-200</t>
  </si>
  <si>
    <t>CHEESE BLEND MOZZ/CHEDD (PIZZA) SHRED</t>
  </si>
  <si>
    <t>CARTON-6x2KG</t>
  </si>
  <si>
    <t>CHEESE CHEDD ANGEL HAIR/ S'FINE SHRED</t>
  </si>
  <si>
    <t>CHICKEN CRISPY</t>
  </si>
  <si>
    <t>CARTON-6x41</t>
  </si>
  <si>
    <t>CHIP NACHO CORN</t>
  </si>
  <si>
    <t>CARTON-4.5KG</t>
  </si>
  <si>
    <t>CHURROS MINI</t>
  </si>
  <si>
    <t>CARTON-80</t>
  </si>
  <si>
    <t>CINNAMON TWISTS</t>
  </si>
  <si>
    <t>CARTON-4X5KG</t>
  </si>
  <si>
    <t>CREAM SOUR LIGHT</t>
  </si>
  <si>
    <t>EACH-5KG</t>
  </si>
  <si>
    <t>CUP FCB 590 ML CH</t>
  </si>
  <si>
    <t>CUP POSTMIX LARGE</t>
  </si>
  <si>
    <t>CUP POSTMIX REGULAR</t>
  </si>
  <si>
    <t>DESSERT CHOCETTES</t>
  </si>
  <si>
    <t>CARTON-2x2.5KG</t>
  </si>
  <si>
    <t>DIPPING CUP 60ML</t>
  </si>
  <si>
    <t>DRINK 7UP 600ML PET</t>
  </si>
  <si>
    <t>CARTON-24</t>
  </si>
  <si>
    <t>DRINK 7UP BIB 15L</t>
  </si>
  <si>
    <t>CARTON-15L</t>
  </si>
  <si>
    <t>DRINK 7UP CAN</t>
  </si>
  <si>
    <t>CARTON-30</t>
  </si>
  <si>
    <t>DRINK DARE ICED COFFEE DOUBLE</t>
  </si>
  <si>
    <t>EACH</t>
  </si>
  <si>
    <t>DRINK FCB FREEZE MOUNTAIN DEW 10L</t>
  </si>
  <si>
    <t>CARTON-10L</t>
  </si>
  <si>
    <t>DRINK FCB FREEZE PEPSI 10L</t>
  </si>
  <si>
    <t>DRINK FCB FREEZE TRAD RASPBERRY 10L</t>
  </si>
  <si>
    <t>DRINK JUICE APPLE SPRING VALLEY</t>
  </si>
  <si>
    <t>CARTON-18</t>
  </si>
  <si>
    <t>DRINK JUICE POP TOP APPLE 250ML</t>
  </si>
  <si>
    <t>DRINK JUICE POP TOP ORANGE 250ML</t>
  </si>
  <si>
    <t>DRINK LIPTON ICE TEA LEMON 500ML</t>
  </si>
  <si>
    <t>DRINK LIPTON ICE TEA PEACH</t>
  </si>
  <si>
    <t>DRINK MOUNTAIN DEW 600ML PET</t>
  </si>
  <si>
    <t>DRINK MOUNTAIN DEW BIB 15L</t>
  </si>
  <si>
    <t>DRINK MOUNTAIN DEW CAN</t>
  </si>
  <si>
    <t>DRINK PEPSI 600ML</t>
  </si>
  <si>
    <t>DRINK PEPSI CAN</t>
  </si>
  <si>
    <t>DRINK PEPSI MAX 600ML</t>
  </si>
  <si>
    <t>DRINK PEPSI MAX BIB 10L</t>
  </si>
  <si>
    <t>DRINK PEPSI MAX CAN</t>
  </si>
  <si>
    <t>DRINK PEPSI POST MIX</t>
  </si>
  <si>
    <t>DRINK RED BULL ED 250ML</t>
  </si>
  <si>
    <t>DRINK RED BULL S/FREE 250ML</t>
  </si>
  <si>
    <t>DRINK RED BULL TROPICAL 250ML</t>
  </si>
  <si>
    <t>CARTON-12</t>
  </si>
  <si>
    <t>DRINK SOLO CAN</t>
  </si>
  <si>
    <t>DRINK SOLO LEMON 600ML PET</t>
  </si>
  <si>
    <t>DRINK SOLO LEMON BIB 15L</t>
  </si>
  <si>
    <t>DRINK SUNKIST ORANGE 600ML</t>
  </si>
  <si>
    <t>DRINK SUNKIST ORANGE BIB 15L</t>
  </si>
  <si>
    <t>DRINK SUNKIST ORANGE CAN</t>
  </si>
  <si>
    <t>DRINK WATER 600ML PET</t>
  </si>
  <si>
    <t>DRINK WATER SPARKLING 500ML</t>
  </si>
  <si>
    <t>FLATBREAD</t>
  </si>
  <si>
    <t>CARTON-24X6</t>
  </si>
  <si>
    <t>FRIES SURECRISP</t>
  </si>
  <si>
    <t>GUACAMOLE</t>
  </si>
  <si>
    <t>CARTON-6x1.5KG</t>
  </si>
  <si>
    <t>JALAPENO</t>
  </si>
  <si>
    <t>CARTON-6x2.3KG</t>
  </si>
  <si>
    <t>LABELS DELIVERY TB TAMPER PROOF</t>
  </si>
  <si>
    <t>LAVA SAUCE</t>
  </si>
  <si>
    <t>CARTON-10x1KG</t>
  </si>
  <si>
    <t>LETTUCE SHREDDED</t>
  </si>
  <si>
    <t>CARTON-4X2.5KG</t>
  </si>
  <si>
    <t>LID CLEAR 60ML DIPPING CUP</t>
  </si>
  <si>
    <t>LID FCB DOME 590 ML CH</t>
  </si>
  <si>
    <t>LID POSTMIX</t>
  </si>
  <si>
    <t>MEAT BEEF COOKED</t>
  </si>
  <si>
    <t>CARTON-8x1.85KG</t>
  </si>
  <si>
    <t>MEAT CHICKEN COOKED</t>
  </si>
  <si>
    <t>CARTON-10X600GM</t>
  </si>
  <si>
    <t>NAPKINS BROWN RECYCLE</t>
  </si>
  <si>
    <t>CARTON-12x500</t>
  </si>
  <si>
    <t>OIL FRYING LIQUID CARGILL</t>
  </si>
  <si>
    <t>CARTON-15KG</t>
  </si>
  <si>
    <t>ONION BROWN DICED</t>
  </si>
  <si>
    <t>CARTON-4x1KG</t>
  </si>
  <si>
    <t>RICE LONG GRAIN WHITE</t>
  </si>
  <si>
    <t>BAG-10KG</t>
  </si>
  <si>
    <t>SALAD CORIANDER CHOPPED</t>
  </si>
  <si>
    <t>BAG-500GM</t>
  </si>
  <si>
    <t>SAUCE CARAMEL MONIN 1.89L</t>
  </si>
  <si>
    <t>CARTON-4x1.89L</t>
  </si>
  <si>
    <t>SAUCE CHILLI MILD</t>
  </si>
  <si>
    <t>SAUCE CHIPOTLE MAYO 1</t>
  </si>
  <si>
    <t>CARTON-15x1KG</t>
  </si>
  <si>
    <t>SAUCE CHOCOLATE DA VINCI</t>
  </si>
  <si>
    <t>CARTON-3x2L</t>
  </si>
  <si>
    <t>SAUCE CREAMY JALAPENO</t>
  </si>
  <si>
    <t>SAUCE FIRE 10X1KG</t>
  </si>
  <si>
    <t>SAUCE NACHO CHEESE</t>
  </si>
  <si>
    <t>CARTON-6x1.8KG</t>
  </si>
  <si>
    <t>SAUCE PICO DE GALLO 100GM</t>
  </si>
  <si>
    <t>CARTON-12x500GM</t>
  </si>
  <si>
    <t>SAUCE ZESTY RANCH 1</t>
  </si>
  <si>
    <t>SEASONING MEXICAN RICE</t>
  </si>
  <si>
    <t>STRAW PAPER KFC</t>
  </si>
  <si>
    <t>CARTON-4000</t>
  </si>
  <si>
    <t>SUGAR CINNAMON 5KG</t>
  </si>
  <si>
    <t>CARTON-5x2.5KG</t>
  </si>
  <si>
    <t>TB FIESTA SALSA (FINISHED PRODUCT)</t>
  </si>
  <si>
    <t>KG</t>
  </si>
  <si>
    <t>TB GUACAMOLE (FINISHED PRODUCT)</t>
  </si>
  <si>
    <t>GRAM-1GM</t>
  </si>
  <si>
    <t>TB MEXICAN RICE (FINISHED PRODUCT)</t>
  </si>
  <si>
    <t>TB TACO SHELLS (FINISHED PRODUCT)</t>
  </si>
  <si>
    <t>TB TOMATO DICED (FINISHED PRODUCT)</t>
  </si>
  <si>
    <t>TB TOSTADA (FINISHED PRODUCT)</t>
  </si>
  <si>
    <t>TOMATO DICED</t>
  </si>
  <si>
    <t>TORTILLA CORN 6 INCH</t>
  </si>
  <si>
    <t>CARTON-12x36</t>
  </si>
  <si>
    <t>TORTILLA FLOUR 10.25INCH</t>
  </si>
  <si>
    <t>CARTON-12x12</t>
  </si>
  <si>
    <t>TORTILLA FLOUR 12INCH</t>
  </si>
  <si>
    <t>TORTILLA FLOUR 6.5INCH</t>
  </si>
  <si>
    <t>CARTON-24x12</t>
  </si>
  <si>
    <t>TRAYS DRINKS 4 CUP</t>
  </si>
  <si>
    <t>CARTON-100</t>
  </si>
  <si>
    <t>WOODEN FORK</t>
  </si>
  <si>
    <t>WRAP LARGE WHITE PRINTED</t>
  </si>
  <si>
    <t>WRAP SMALL WHITE PRINTED</t>
  </si>
  <si>
    <t>WRAP WASTE WHITE UNPRINTED</t>
  </si>
  <si>
    <t>CARTON-5x1000</t>
  </si>
  <si>
    <t>3811 Chirnside Park</t>
  </si>
  <si>
    <t>########</t>
  </si>
  <si>
    <t>Monday</t>
  </si>
  <si>
    <t>Average of Mondays</t>
  </si>
  <si>
    <t>Tuesday</t>
  </si>
  <si>
    <t>Average of Tuesdays</t>
  </si>
  <si>
    <t>Wednesday</t>
  </si>
  <si>
    <t>Average of Wednesdays</t>
  </si>
  <si>
    <t>Thursday</t>
  </si>
  <si>
    <t>Average of Thursdays</t>
  </si>
  <si>
    <t>Friday</t>
  </si>
  <si>
    <t>Average of Fridays</t>
  </si>
  <si>
    <t>Saturday</t>
  </si>
  <si>
    <t>Average of Saturdays</t>
  </si>
  <si>
    <t>Sunday</t>
  </si>
  <si>
    <t>Average of Sundays</t>
  </si>
  <si>
    <t>Macromatix Hour by Hour</t>
  </si>
  <si>
    <t>Hourly Sales % of Daily Total</t>
  </si>
  <si>
    <t>Cartons</t>
  </si>
  <si>
    <t>Hour</t>
  </si>
  <si>
    <t>Mon</t>
  </si>
  <si>
    <t>Tue</t>
  </si>
  <si>
    <t>Wed</t>
  </si>
  <si>
    <t>Thu</t>
  </si>
  <si>
    <t>Fri</t>
  </si>
  <si>
    <t>Sat</t>
  </si>
  <si>
    <t>Sun</t>
  </si>
  <si>
    <t>LUNCH</t>
  </si>
  <si>
    <t xml:space="preserve">MEAT BEEF COOKED </t>
  </si>
  <si>
    <t>//10-11</t>
  </si>
  <si>
    <t>//11-12</t>
  </si>
  <si>
    <t>//12-1</t>
  </si>
  <si>
    <t>//1-2</t>
  </si>
  <si>
    <t>//2-3</t>
  </si>
  <si>
    <t>DINNER</t>
  </si>
  <si>
    <t>//3-4</t>
  </si>
  <si>
    <t>//4-5</t>
  </si>
  <si>
    <t>Inners</t>
  </si>
  <si>
    <t>//5-6</t>
  </si>
  <si>
    <t>//6-7</t>
  </si>
  <si>
    <t>//7-8</t>
  </si>
  <si>
    <t>//8-9</t>
  </si>
  <si>
    <t>//9-10</t>
  </si>
  <si>
    <t>Totals</t>
  </si>
  <si>
    <t>//Day Totals</t>
  </si>
  <si>
    <t>Cook time blocks</t>
  </si>
  <si>
    <t>Cook Time Blocks % of Daily Total</t>
  </si>
  <si>
    <t>Block</t>
  </si>
  <si>
    <t>8:45am</t>
  </si>
  <si>
    <t>//Morning</t>
  </si>
  <si>
    <t>10:30am</t>
  </si>
  <si>
    <t>//Lunch</t>
  </si>
  <si>
    <t>2:00pm</t>
  </si>
  <si>
    <t>//Afternoon</t>
  </si>
  <si>
    <t>3:30pm</t>
  </si>
  <si>
    <t>//Dinner</t>
  </si>
  <si>
    <t>7:00pm</t>
  </si>
  <si>
    <t>//After Dinner</t>
  </si>
  <si>
    <t>Late Night</t>
  </si>
  <si>
    <t>=SUM(IFERROR(Sales!BT$17*Sales!BK30/SUM(Sales!BK$28:BK$32),0)*$L$3)</t>
  </si>
  <si>
    <t>Date</t>
  </si>
  <si>
    <t>00:00-1:00</t>
  </si>
  <si>
    <t>1:00-2:00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</si>
  <si>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</si>
  <si>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</si>
  <si>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</si>
  <si>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</si>
  <si>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</si>
  <si>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</si>
  <si>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</si>
  <si>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</si>
  <si>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</si>
  <si>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</si>
  <si>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</si>
  <si>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</si>
  <si>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</si>
  <si>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</si>
  <si>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</si>
  <si>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</si>
  <si>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</si>
  <si>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</si>
  <si>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</si>
  <si>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</si>
  <si>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</si>
  <si>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</si>
  <si>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Sales</t>
  </si>
  <si>
    <t>1 week ago</t>
  </si>
  <si>
    <t>2 weeks ago</t>
  </si>
  <si>
    <t>3 weeks ago</t>
  </si>
  <si>
    <t>4 weeks ago</t>
  </si>
  <si>
    <t>5 weeks ago</t>
  </si>
  <si>
    <t>Total</t>
  </si>
  <si>
    <t>5am</t>
  </si>
  <si>
    <t>6am</t>
  </si>
  <si>
    <t>7am</t>
  </si>
  <si>
    <t>8am</t>
  </si>
  <si>
    <t>9am</t>
  </si>
  <si>
    <t>10am</t>
  </si>
  <si>
    <t>11am</t>
  </si>
  <si>
    <t>12pm</t>
  </si>
  <si>
    <t>1pm</t>
  </si>
  <si>
    <t>2pm</t>
  </si>
  <si>
    <t>3pm</t>
  </si>
  <si>
    <t>4pm</t>
  </si>
  <si>
    <t>5pm</t>
  </si>
  <si>
    <t>6pm</t>
  </si>
  <si>
    <t>7pm</t>
  </si>
  <si>
    <t>8pm</t>
  </si>
  <si>
    <t>9pm</t>
  </si>
  <si>
    <t>10pm</t>
  </si>
  <si>
    <t>11pm</t>
  </si>
  <si>
    <t>12am</t>
  </si>
  <si>
    <t>1am</t>
  </si>
  <si>
    <t>2am</t>
  </si>
  <si>
    <t>3am</t>
  </si>
  <si>
    <t>4am</t>
  </si>
  <si>
    <t>Cook Block</t>
  </si>
  <si>
    <t>Week Total</t>
  </si>
  <si>
    <t>8:45</t>
  </si>
  <si>
    <t>Sales Multiplier</t>
  </si>
  <si>
    <t>10:30</t>
  </si>
  <si>
    <t>&lt;24</t>
  </si>
  <si>
    <t>14:00</t>
  </si>
  <si>
    <t>15:30</t>
  </si>
  <si>
    <t>&lt;35</t>
  </si>
  <si>
    <t>19:00</t>
  </si>
  <si>
    <t>ITEM NAME</t>
  </si>
  <si>
    <t>MONDAY</t>
  </si>
  <si>
    <t>TUESDAY</t>
  </si>
  <si>
    <t>WEDNESDAY</t>
  </si>
  <si>
    <t>THURSDAY</t>
  </si>
  <si>
    <t>FRIDAY</t>
  </si>
  <si>
    <t>SATURDAY</t>
  </si>
  <si>
    <t>SUNDAY</t>
  </si>
  <si>
    <t>Units</t>
  </si>
  <si>
    <t>How its calculated</t>
  </si>
  <si>
    <t>Fry</t>
  </si>
  <si>
    <t>Trays</t>
  </si>
  <si>
    <t>Today + Tomorrow</t>
  </si>
  <si>
    <t>Cups</t>
  </si>
  <si>
    <t>Tubs</t>
  </si>
  <si>
    <t>Salad</t>
  </si>
  <si>
    <t>Bottles</t>
  </si>
  <si>
    <t>Today</t>
  </si>
  <si>
    <t>Pans</t>
  </si>
  <si>
    <t>Thaw</t>
  </si>
  <si>
    <t>Boxes</t>
  </si>
  <si>
    <t>Today + 2 Days</t>
  </si>
  <si>
    <t>FlatBread</t>
  </si>
  <si>
    <t>Bags</t>
  </si>
  <si>
    <t>Prep Guide</t>
  </si>
  <si>
    <t>Forecasted Sales Below:</t>
  </si>
  <si>
    <t>3811 - Chirnside Park</t>
  </si>
  <si>
    <t>Manager Initial:</t>
  </si>
  <si>
    <t>Cook Cycle</t>
  </si>
  <si>
    <t>BEEF</t>
  </si>
  <si>
    <t>CHICKEN</t>
  </si>
  <si>
    <t>BEANS</t>
  </si>
  <si>
    <t>NACHO CHEESE</t>
  </si>
  <si>
    <t>RICE</t>
  </si>
  <si>
    <t>SALAD PREP</t>
  </si>
  <si>
    <t>FRY PREP</t>
  </si>
  <si>
    <t>THAWING</t>
  </si>
  <si>
    <t>TOSTADAS</t>
  </si>
  <si>
    <t>6.5INCH</t>
  </si>
  <si>
    <t>CORN 6 INCH</t>
  </si>
  <si>
    <t>CHIP NACHO</t>
  </si>
  <si>
    <t>FIESTA (PANS)</t>
  </si>
  <si>
    <t>TACOS</t>
  </si>
  <si>
    <t>12" TORTILLAS</t>
  </si>
  <si>
    <t>GUAC (PANS)</t>
  </si>
  <si>
    <t>10" TORTILLAS</t>
  </si>
  <si>
    <t>SOUR CREAM</t>
  </si>
  <si>
    <t>NACHO CHIPS</t>
  </si>
  <si>
    <t>6" TORTILLAS</t>
  </si>
  <si>
    <t>ZESTY RANCH</t>
  </si>
  <si>
    <t>CIN TWISTS</t>
  </si>
  <si>
    <t>FLAT BREADS</t>
  </si>
  <si>
    <t>CHIPOTLE MAYO</t>
  </si>
  <si>
    <t>LAVA</t>
  </si>
  <si>
    <t>CREAMY J</t>
  </si>
  <si>
    <t>MILD</t>
  </si>
  <si>
    <t>FIRE</t>
  </si>
  <si>
    <t>Week</t>
  </si>
  <si>
    <t>Forecast Sales $</t>
  </si>
  <si>
    <t>Actual Sales</t>
  </si>
  <si>
    <t>Copy from Labour Schedule then "Ctrl + Shift + V" in "B2"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</si>
</sst>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0.0"/>
  </numFmts>
  <fonts count="2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Inter"/>
    </font>
    <font>
      <sz val="11"/>
      <color theme="0" tint="-0.249977111117893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rial Unicode MS"/>
    </font>
    <font>
      <b/>
      <sz val="11"/>
      <color rgb="FF000000"/>
      <name val="Century Gothic"/>
    </font>
    <font>
      <sz val="11"/>
      <color rgb="FF000000"/>
      <name val="Century Gothic"/>
    </font>
    <font>
      <sz val="11"/>
      <color theme="1"/>
      <name val="Century Gothic"/>
    </font>
    <font>
      <b/>
      <sz val="11"/>
      <color theme="1"/>
      <name val="Century Gothic"/>
    </font>
    <font>
      <b/>
      <sz val="20"/>
      <color theme="0"/>
      <name val="Century Gothic"/>
    </font>
    <font>
      <b/>
      <sz val="11"/>
      <color theme="0"/>
      <name val="Century Gothic"/>
    </font>
    <font>
      <sz val="11"/>
      <color theme="0"/>
      <name val="Century Gothic"/>
    </font>
    <font>
      <b/>
      <sz val="12"/>
      <color theme="0"/>
      <name val="Calibri"/>
    </font>
    <font>
      <sz val="8"/>
      <name val="Calibri"/>
    </font>
    <font>
      <sz val="10"/>
      <color theme="1"/>
      <name val="Calibri"/>
    </font>
    <font>
      <sz val="10"/>
      <name val="Calibri"/>
    </font>
    <font>
      <sz val="8"/>
      <name val="Arial"/>
    </font>
    <font>
      <b/>
      <sz val="11"/>
      <color rgb="FF333333"/>
      <name val="Inter"/>
    </font>
    <font>
      <sz val="8"/>
      <color rgb="FF333333"/>
      <name val="Inter"/>
    </font>
    <font>
      <sz val="11"/>
      <color rgb="FF000000"/>
      <name val="Aptos Narrow"/>
      <family val="2"/>
    </font>
    <font>
      <sz val="11"/>
      <color rgb="FFFFFFFF"/>
      <name val="Aptos Narrow"/>
      <family val="2"/>
      <scheme val="minor"/>
    </font>
    <font>
      <sz val="11"/>
      <color rgb="FF242424"/>
      <name val="Aptos Narrow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547AE"/>
        <bgColor indexed="64"/>
      </patternFill>
    </fill>
    <fill>
      <patternFill patternType="solid">
        <fgColor rgb="FFA63F9F"/>
        <bgColor indexed="64"/>
      </patternFill>
    </fill>
    <fill>
      <patternFill patternType="solid">
        <fgColor rgb="FF8F3CA6"/>
        <bgColor indexed="64"/>
      </patternFill>
    </fill>
    <fill>
      <patternFill patternType="solid">
        <fgColor rgb="FF6D33A6"/>
        <bgColor indexed="64"/>
      </patternFill>
    </fill>
    <fill>
      <patternFill patternType="solid">
        <fgColor rgb="FF4429A6"/>
        <bgColor indexed="64"/>
      </patternFill>
    </fill>
    <fill>
      <patternFill patternType="solid">
        <fgColor rgb="FF2621A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77BCA"/>
        <bgColor indexed="64"/>
      </patternFill>
    </fill>
    <fill>
      <patternFill patternType="solid">
        <fgColor rgb="FFF3F3F3"/>
        <bgColor indexed="64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BCBCB"/>
      </left>
      <right/>
      <top style="medium">
        <color rgb="FFCBCBCB"/>
      </top>
      <bottom style="medium">
        <color rgb="FFCBCBCB"/>
      </bottom>
      <diagonal/>
    </border>
    <border>
      <left/>
      <right/>
      <top style="medium">
        <color rgb="FFCBCBCB"/>
      </top>
      <bottom style="medium">
        <color rgb="FFCBCBCB"/>
      </bottom>
      <diagonal/>
    </border>
    <border>
      <left/>
      <right style="medium">
        <color rgb="FFCBCBCB"/>
      </right>
      <top style="medium">
        <color rgb="FFCBCBCB"/>
      </top>
      <bottom style="medium">
        <color rgb="FFCBCBCB"/>
      </bottom>
      <diagonal/>
    </border>
    <border>
      <left style="medium">
        <color rgb="FFCBCBCB"/>
      </left>
      <right style="medium">
        <color rgb="FFCBCBCB"/>
      </right>
      <top style="medium">
        <color rgb="FFCBCBCB"/>
      </top>
      <bottom/>
      <diagonal/>
    </border>
    <border>
      <left style="medium">
        <color rgb="FFCBCBCB"/>
      </left>
      <right style="medium">
        <color rgb="FFCBCBCB"/>
      </right>
      <top/>
      <bottom style="medium">
        <color rgb="FFCBCBCB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5" fillId="3" borderId="2" xfId="0" applyFont="1" applyFill="1" applyBorder="1"/>
    <xf numFmtId="0" fontId="5" fillId="0" borderId="0" xfId="0" applyFont="1"/>
    <xf numFmtId="0" fontId="3" fillId="12" borderId="9" xfId="0" applyFont="1" applyFill="1" applyBorder="1" applyAlignment="1">
      <alignment horizontal="right"/>
    </xf>
    <xf numFmtId="20" fontId="3" fillId="12" borderId="2" xfId="0" applyNumberFormat="1" applyFon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164" fontId="3" fillId="12" borderId="12" xfId="0" applyNumberFormat="1" applyFont="1" applyFill="1" applyBorder="1" applyAlignment="1">
      <alignment horizontal="center"/>
    </xf>
    <xf numFmtId="164" fontId="3" fillId="12" borderId="13" xfId="0" applyNumberFormat="1" applyFont="1" applyFill="1" applyBorder="1" applyAlignment="1">
      <alignment horizontal="center"/>
    </xf>
    <xf numFmtId="164" fontId="3" fillId="12" borderId="14" xfId="0" applyNumberFormat="1" applyFont="1" applyFill="1" applyBorder="1" applyAlignment="1">
      <alignment horizontal="center"/>
    </xf>
    <xf numFmtId="2" fontId="0" fillId="0" borderId="0" xfId="0" applyNumberFormat="1"/>
    <xf numFmtId="0" fontId="7" fillId="15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9" fontId="0" fillId="0" borderId="0" xfId="0" applyNumberFormat="1"/>
    <xf numFmtId="0" fontId="11" fillId="0" borderId="0" xfId="0" applyFont="1"/>
    <xf numFmtId="0" fontId="11" fillId="4" borderId="0" xfId="0" applyFont="1" applyFill="1"/>
    <xf numFmtId="0" fontId="11" fillId="4" borderId="27" xfId="0" applyFont="1" applyFill="1" applyBorder="1"/>
    <xf numFmtId="0" fontId="11" fillId="4" borderId="15" xfId="0" applyFont="1" applyFill="1" applyBorder="1"/>
    <xf numFmtId="0" fontId="11" fillId="4" borderId="26" xfId="0" applyFont="1" applyFill="1" applyBorder="1"/>
    <xf numFmtId="0" fontId="17" fillId="0" borderId="25" xfId="0" applyFont="1" applyBorder="1" applyAlignment="1">
      <alignment horizontal="center"/>
    </xf>
    <xf numFmtId="0" fontId="16" fillId="19" borderId="25" xfId="0" applyFont="1" applyFill="1" applyBorder="1" applyAlignment="1">
      <alignment horizontal="center" vertical="center"/>
    </xf>
    <xf numFmtId="166" fontId="16" fillId="19" borderId="25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/>
    </xf>
    <xf numFmtId="166" fontId="18" fillId="0" borderId="25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5" xfId="0" applyFont="1" applyBorder="1" applyAlignment="1">
      <alignment horizontal="center"/>
    </xf>
    <xf numFmtId="0" fontId="16" fillId="19" borderId="33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20" borderId="0" xfId="0" applyFont="1" applyFill="1" applyAlignment="1">
      <alignment horizontal="center"/>
    </xf>
    <xf numFmtId="0" fontId="0" fillId="0" borderId="25" xfId="0" applyBorder="1" applyAlignment="1">
      <alignment horizontal="center"/>
    </xf>
    <xf numFmtId="0" fontId="19" fillId="0" borderId="37" xfId="0" applyFont="1" applyBorder="1" applyAlignment="1">
      <alignment horizontal="center"/>
    </xf>
    <xf numFmtId="16" fontId="22" fillId="2" borderId="51" xfId="0" applyNumberFormat="1" applyFont="1" applyFill="1" applyBorder="1" applyAlignment="1">
      <alignment horizontal="center" vertical="center" wrapText="1"/>
    </xf>
    <xf numFmtId="4" fontId="4" fillId="21" borderId="10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" fontId="4" fillId="2" borderId="0" xfId="0" applyNumberFormat="1" applyFont="1" applyFill="1" applyAlignment="1">
      <alignment horizontal="center" vertical="center" wrapText="1"/>
    </xf>
    <xf numFmtId="0" fontId="22" fillId="2" borderId="50" xfId="0" applyFont="1" applyFill="1" applyBorder="1" applyAlignment="1">
      <alignment horizontal="center" vertical="center" wrapText="1"/>
    </xf>
    <xf numFmtId="0" fontId="4" fillId="21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right"/>
    </xf>
    <xf numFmtId="0" fontId="0" fillId="0" borderId="25" xfId="0" applyBorder="1"/>
    <xf numFmtId="0" fontId="23" fillId="0" borderId="0" xfId="0" applyFont="1"/>
    <xf numFmtId="0" fontId="23" fillId="0" borderId="0" xfId="0" applyFont="1" applyAlignment="1">
      <alignment wrapText="1"/>
    </xf>
    <xf numFmtId="4" fontId="23" fillId="0" borderId="0" xfId="0" applyNumberFormat="1" applyFont="1"/>
    <xf numFmtId="0" fontId="0" fillId="3" borderId="2" xfId="0" applyFill="1" applyBorder="1"/>
    <xf numFmtId="0" fontId="0" fillId="3" borderId="30" xfId="0" applyFill="1" applyBorder="1"/>
    <xf numFmtId="0" fontId="3" fillId="5" borderId="11" xfId="0" applyFont="1" applyFill="1" applyBorder="1"/>
    <xf numFmtId="0" fontId="3" fillId="6" borderId="5" xfId="0" applyFont="1" applyFill="1" applyBorder="1"/>
    <xf numFmtId="0" fontId="3" fillId="7" borderId="5" xfId="0" applyFont="1" applyFill="1" applyBorder="1"/>
    <xf numFmtId="0" fontId="3" fillId="8" borderId="5" xfId="0" applyFont="1" applyFill="1" applyBorder="1"/>
    <xf numFmtId="0" fontId="3" fillId="9" borderId="5" xfId="0" applyFont="1" applyFill="1" applyBorder="1"/>
    <xf numFmtId="0" fontId="3" fillId="10" borderId="5" xfId="0" applyFont="1" applyFill="1" applyBorder="1"/>
    <xf numFmtId="0" fontId="3" fillId="11" borderId="8" xfId="0" applyFont="1" applyFill="1" applyBorder="1"/>
    <xf numFmtId="0" fontId="24" fillId="16" borderId="29" xfId="0" applyFont="1" applyFill="1" applyBorder="1" applyAlignment="1">
      <alignment horizontal="center"/>
    </xf>
    <xf numFmtId="20" fontId="0" fillId="0" borderId="29" xfId="0" applyNumberFormat="1" applyBorder="1" applyAlignment="1">
      <alignment horizontal="center"/>
    </xf>
    <xf numFmtId="165" fontId="0" fillId="0" borderId="29" xfId="0" applyNumberFormat="1" applyBorder="1" applyAlignment="1">
      <alignment horizontal="right"/>
    </xf>
    <xf numFmtId="20" fontId="0" fillId="0" borderId="15" xfId="0" applyNumberFormat="1" applyBorder="1"/>
    <xf numFmtId="164" fontId="0" fillId="0" borderId="16" xfId="0" applyNumberFormat="1" applyBorder="1" applyAlignment="1">
      <alignment horizontal="center"/>
    </xf>
    <xf numFmtId="20" fontId="0" fillId="13" borderId="17" xfId="0" applyNumberFormat="1" applyFill="1" applyBorder="1"/>
    <xf numFmtId="20" fontId="0" fillId="0" borderId="17" xfId="0" applyNumberFormat="1" applyBorder="1"/>
    <xf numFmtId="20" fontId="0" fillId="0" borderId="18" xfId="0" applyNumberFormat="1" applyBorder="1"/>
    <xf numFmtId="0" fontId="0" fillId="3" borderId="11" xfId="0" applyFill="1" applyBorder="1"/>
    <xf numFmtId="164" fontId="0" fillId="3" borderId="2" xfId="0" applyNumberFormat="1" applyFill="1" applyBorder="1"/>
    <xf numFmtId="0" fontId="0" fillId="0" borderId="8" xfId="0" applyBorder="1"/>
    <xf numFmtId="164" fontId="0" fillId="0" borderId="19" xfId="0" applyNumberFormat="1" applyBorder="1" applyAlignment="1">
      <alignment horizontal="center"/>
    </xf>
    <xf numFmtId="20" fontId="6" fillId="17" borderId="29" xfId="0" applyNumberFormat="1" applyFont="1" applyFill="1" applyBorder="1" applyAlignment="1">
      <alignment horizontal="center"/>
    </xf>
    <xf numFmtId="165" fontId="6" fillId="17" borderId="29" xfId="0" applyNumberFormat="1" applyFont="1" applyFill="1" applyBorder="1" applyAlignment="1">
      <alignment horizontal="right"/>
    </xf>
    <xf numFmtId="0" fontId="0" fillId="3" borderId="1" xfId="0" applyFill="1" applyBorder="1"/>
    <xf numFmtId="0" fontId="0" fillId="3" borderId="3" xfId="0" applyFill="1" applyBorder="1"/>
    <xf numFmtId="0" fontId="0" fillId="3" borderId="7" xfId="0" applyFill="1" applyBorder="1"/>
    <xf numFmtId="0" fontId="3" fillId="5" borderId="0" xfId="0" applyFont="1" applyFill="1"/>
    <xf numFmtId="0" fontId="3" fillId="6" borderId="4" xfId="0" applyFont="1" applyFill="1" applyBorder="1"/>
    <xf numFmtId="0" fontId="3" fillId="7" borderId="4" xfId="0" applyFont="1" applyFill="1" applyBorder="1"/>
    <xf numFmtId="0" fontId="3" fillId="8" borderId="4" xfId="0" applyFont="1" applyFill="1" applyBorder="1"/>
    <xf numFmtId="0" fontId="3" fillId="9" borderId="4" xfId="0" applyFont="1" applyFill="1" applyBorder="1"/>
    <xf numFmtId="0" fontId="3" fillId="10" borderId="4" xfId="0" applyFont="1" applyFill="1" applyBorder="1"/>
    <xf numFmtId="0" fontId="3" fillId="11" borderId="7" xfId="0" applyFont="1" applyFill="1" applyBorder="1"/>
    <xf numFmtId="0" fontId="0" fillId="0" borderId="20" xfId="0" applyBorder="1"/>
    <xf numFmtId="164" fontId="0" fillId="0" borderId="21" xfId="0" applyNumberFormat="1" applyBorder="1" applyAlignment="1">
      <alignment horizontal="center"/>
    </xf>
    <xf numFmtId="18" fontId="0" fillId="0" borderId="29" xfId="0" applyNumberFormat="1" applyBorder="1" applyAlignment="1">
      <alignment horizontal="center"/>
    </xf>
    <xf numFmtId="0" fontId="0" fillId="14" borderId="22" xfId="0" applyFill="1" applyBorder="1"/>
    <xf numFmtId="164" fontId="0" fillId="14" borderId="23" xfId="0" applyNumberFormat="1" applyFill="1" applyBorder="1" applyAlignment="1">
      <alignment horizontal="center"/>
    </xf>
    <xf numFmtId="0" fontId="0" fillId="0" borderId="22" xfId="0" applyBorder="1"/>
    <xf numFmtId="164" fontId="0" fillId="0" borderId="23" xfId="0" applyNumberFormat="1" applyBorder="1" applyAlignment="1">
      <alignment horizontal="center"/>
    </xf>
    <xf numFmtId="164" fontId="0" fillId="14" borderId="24" xfId="0" applyNumberFormat="1" applyFill="1" applyBorder="1" applyAlignment="1">
      <alignment horizontal="center"/>
    </xf>
    <xf numFmtId="0" fontId="0" fillId="0" borderId="18" xfId="0" applyBorder="1"/>
    <xf numFmtId="164" fontId="0" fillId="0" borderId="25" xfId="0" applyNumberFormat="1" applyBorder="1" applyAlignment="1">
      <alignment horizontal="center"/>
    </xf>
    <xf numFmtId="164" fontId="0" fillId="14" borderId="26" xfId="0" applyNumberFormat="1" applyFill="1" applyBorder="1" applyAlignment="1">
      <alignment horizontal="center"/>
    </xf>
    <xf numFmtId="164" fontId="0" fillId="3" borderId="3" xfId="0" applyNumberFormat="1" applyFill="1" applyBorder="1"/>
    <xf numFmtId="164" fontId="0" fillId="0" borderId="27" xfId="0" applyNumberFormat="1" applyBorder="1" applyAlignment="1">
      <alignment horizontal="center"/>
    </xf>
    <xf numFmtId="18" fontId="6" fillId="17" borderId="29" xfId="0" applyNumberFormat="1" applyFont="1" applyFill="1" applyBorder="1" applyAlignment="1">
      <alignment horizontal="center"/>
    </xf>
    <xf numFmtId="0" fontId="0" fillId="3" borderId="6" xfId="0" applyFill="1" applyBorder="1"/>
    <xf numFmtId="14" fontId="23" fillId="0" borderId="0" xfId="0" applyNumberFormat="1" applyFont="1"/>
    <xf numFmtId="0" fontId="13" fillId="19" borderId="25" xfId="0" applyFont="1" applyFill="1" applyBorder="1" applyAlignment="1">
      <alignment horizontal="center" vertical="center" wrapText="1" readingOrder="1"/>
    </xf>
    <xf numFmtId="0" fontId="14" fillId="20" borderId="25" xfId="0" applyFont="1" applyFill="1" applyBorder="1" applyAlignment="1">
      <alignment horizontal="center" vertical="top" wrapText="1" readingOrder="1"/>
    </xf>
    <xf numFmtId="164" fontId="11" fillId="0" borderId="25" xfId="0" applyNumberFormat="1" applyFont="1" applyBorder="1" applyAlignment="1">
      <alignment horizontal="center"/>
    </xf>
    <xf numFmtId="14" fontId="9" fillId="0" borderId="25" xfId="0" applyNumberFormat="1" applyFont="1" applyBorder="1" applyAlignment="1">
      <alignment horizontal="center" vertical="top" wrapText="1" readingOrder="1"/>
    </xf>
    <xf numFmtId="14" fontId="10" fillId="0" borderId="25" xfId="0" applyNumberFormat="1" applyFont="1" applyBorder="1" applyAlignment="1">
      <alignment horizontal="center" vertical="top" wrapText="1" readingOrder="1"/>
    </xf>
    <xf numFmtId="0" fontId="12" fillId="0" borderId="31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20" fontId="12" fillId="0" borderId="31" xfId="0" applyNumberFormat="1" applyFont="1" applyBorder="1" applyAlignment="1">
      <alignment horizontal="center"/>
    </xf>
    <xf numFmtId="20" fontId="12" fillId="0" borderId="23" xfId="0" applyNumberFormat="1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4" fillId="20" borderId="31" xfId="0" applyFont="1" applyFill="1" applyBorder="1" applyAlignment="1">
      <alignment horizontal="center"/>
    </xf>
    <xf numFmtId="0" fontId="14" fillId="20" borderId="23" xfId="0" applyFont="1" applyFill="1" applyBorder="1" applyAlignment="1">
      <alignment horizontal="center"/>
    </xf>
    <xf numFmtId="0" fontId="11" fillId="0" borderId="25" xfId="0" applyFont="1" applyBorder="1" applyAlignment="1">
      <alignment horizontal="center"/>
    </xf>
    <xf numFmtId="2" fontId="10" fillId="0" borderId="25" xfId="0" applyNumberFormat="1" applyFont="1" applyBorder="1" applyAlignment="1">
      <alignment horizontal="center" vertical="center" wrapText="1" readingOrder="1"/>
    </xf>
    <xf numFmtId="0" fontId="10" fillId="0" borderId="25" xfId="0" applyFont="1" applyBorder="1" applyAlignment="1">
      <alignment horizontal="center" vertical="center" wrapText="1" readingOrder="1"/>
    </xf>
    <xf numFmtId="0" fontId="12" fillId="0" borderId="32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5" fillId="20" borderId="25" xfId="0" applyFont="1" applyFill="1" applyBorder="1" applyAlignment="1">
      <alignment horizontal="center"/>
    </xf>
    <xf numFmtId="0" fontId="15" fillId="20" borderId="35" xfId="0" applyFont="1" applyFill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1" fillId="20" borderId="0" xfId="0" applyFont="1" applyFill="1" applyAlignment="1">
      <alignment horizontal="center"/>
    </xf>
    <xf numFmtId="0" fontId="0" fillId="0" borderId="28" xfId="0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4" fillId="15" borderId="29" xfId="0" applyFont="1" applyFill="1" applyBorder="1" applyAlignment="1">
      <alignment horizontal="center"/>
    </xf>
    <xf numFmtId="0" fontId="21" fillId="2" borderId="47" xfId="0" applyFont="1" applyFill="1" applyBorder="1" applyAlignment="1">
      <alignment horizontal="left" vertical="center" wrapText="1" indent="1"/>
    </xf>
    <xf numFmtId="0" fontId="21" fillId="2" borderId="48" xfId="0" applyFont="1" applyFill="1" applyBorder="1" applyAlignment="1">
      <alignment horizontal="left" vertical="center" wrapText="1" indent="1"/>
    </xf>
    <xf numFmtId="0" fontId="21" fillId="2" borderId="49" xfId="0" applyFont="1" applyFill="1" applyBorder="1" applyAlignment="1">
      <alignment horizontal="left" vertical="center" wrapText="1" indent="1"/>
    </xf>
    <xf numFmtId="0" fontId="22" fillId="2" borderId="50" xfId="0" applyFont="1" applyFill="1" applyBorder="1" applyAlignment="1">
      <alignment horizontal="center" vertical="top" wrapText="1"/>
    </xf>
    <xf numFmtId="0" fontId="22" fillId="2" borderId="51" xfId="0" applyFont="1" applyFill="1" applyBorder="1" applyAlignment="1">
      <alignment horizontal="center" vertical="top" wrapText="1"/>
    </xf>
    <xf numFmtId="9" fontId="2" fillId="18" borderId="25" xfId="0" applyNumberFormat="1" applyFont="1" applyFill="1" applyBorder="1" applyAlignment="1">
      <alignment horizontal="center"/>
    </xf>
    <xf numFmtId="0" fontId="3" fillId="20" borderId="25" xfId="0" applyFont="1" applyFill="1" applyBorder="1" applyAlignment="1">
      <alignment horizontal="center"/>
    </xf>
    <xf numFmtId="0" fontId="1" fillId="20" borderId="27" xfId="0" applyFont="1" applyFill="1" applyBorder="1" applyAlignment="1">
      <alignment horizontal="center" vertical="center" textRotation="90"/>
    </xf>
    <xf numFmtId="0" fontId="1" fillId="20" borderId="39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9" fontId="2" fillId="0" borderId="25" xfId="0" applyNumberFormat="1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1" fillId="0" borderId="23" xfId="0" applyFont="1" applyBorder="1" applyAlignment="1">
      <alignment horizontal="center" wrapText="1"/>
    </xf>
    <xf numFmtId="0" fontId="19" fillId="0" borderId="44" xfId="0" applyFont="1" applyBorder="1" applyAlignment="1">
      <alignment horizontal="center"/>
    </xf>
    <xf numFmtId="0" fontId="19" fillId="0" borderId="45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4" fillId="20" borderId="25" xfId="0" applyFont="1" applyFill="1" applyBorder="1" applyAlignment="1">
      <alignment horizontal="center"/>
    </xf>
    <xf numFmtId="20" fontId="12" fillId="0" borderId="25" xfId="0" applyNumberFormat="1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19" fillId="0" borderId="46" xfId="0" applyFont="1" applyBorder="1" applyAlignment="1">
      <alignment horizontal="center"/>
    </xf>
    <xf numFmtId="0" fontId="25" fillId="0" borderId="38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2" fillId="18" borderId="0" xfId="0" applyFont="1" applyFill="1" applyAlignment="1">
      <alignment horizontal="center"/>
    </xf>
    <xf numFmtId="0" fontId="11" fillId="0" borderId="25" xfId="0" applyFont="1" applyBorder="1" applyAlignment="1"/>
    <xf numFmtId="0" fontId="11" fillId="0" borderId="31" xfId="0" applyFont="1" applyBorder="1" applyAlignment="1"/>
    <xf numFmtId="0" fontId="11" fillId="0" borderId="23" xfId="0" applyFont="1" applyBorder="1" applyAlignment="1"/>
  </cellXfs>
  <cellStyles count="1">
    <cellStyle name="Normal" xfId="0" builtinId="0"/>
  </cellStyles>
  <dxfs count="16"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  <dxf>
      <font>
        <color rgb="FFFF0000"/>
      </font>
      <fill>
        <patternFill patternType="solid">
          <bgColor rgb="FFFF0000"/>
        </patternFill>
      </fill>
    </dxf>
    <dxf>
      <font>
        <color rgb="FF92D050"/>
      </font>
      <fill>
        <patternFill patternType="solid">
          <bgColor rgb="FF92D05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92D05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A77BCA"/>
      <color rgb="FFFF5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B4C123-500F-482F-B351-858F044DF4C3}" name="ProductBlockSales" displayName="ProductBlockSales" ref="A1:J26" totalsRowShown="0" headerRowDxfId="11">
  <tableColumns count="10">
    <tableColumn id="1" xr3:uid="{A0189B02-5338-4686-AC15-0A86BB0B464A}" name="Item"/>
    <tableColumn id="2" xr3:uid="{AA6FCAE2-2D85-4139-87C6-6DFFD3E8ABEA}" name="Cook Block" dataDxfId="10"/>
    <tableColumn id="3" xr3:uid="{F4031D15-C262-4DB1-B8C4-35E66A03573F}" name="Monday" dataDxfId="9"/>
    <tableColumn id="4" xr3:uid="{73560AA7-C3DF-41BB-8B3B-D4FBB0C73655}" name="Tuesday" dataDxfId="8"/>
    <tableColumn id="5" xr3:uid="{771ADA58-F934-4039-9729-1C6D0164E6CC}" name="Wednesday" dataDxfId="7"/>
    <tableColumn id="6" xr3:uid="{337AFC14-3192-4B90-A2B2-0EC8047E70A0}" name="Thursday" dataDxfId="6"/>
    <tableColumn id="7" xr3:uid="{C6C6D884-F677-4866-9830-79A2A93E168F}" name="Friday" dataDxfId="5"/>
    <tableColumn id="8" xr3:uid="{48EBD43C-B10C-47CE-ABB2-F68FAF2D0A48}" name="Saturday" dataDxfId="4"/>
    <tableColumn id="9" xr3:uid="{44EC640B-5C81-48A6-9253-596788A776BF}" name="Sunday" dataDxfId="3"/>
    <tableColumn id="10" xr3:uid="{AAD29CDF-F002-4C65-8D81-203E4DFAC07B}" name="Week Total" dataDxfId="2">
      <calculatedColumnFormula>SUM(C2:I2)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CA3AF-AE99-444D-B6AE-774CF82203DD}">
  <dimension ref="A1:T103"/>
  <sheetViews>
    <sheetView zoomScale="55" workbookViewId="0"/>
  </sheetViews>
  <sheetFormatPr defaultRowHeight="15"/>
  <sheetData>
    <row r="1" spans="1:20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</row>
    <row r="2" spans="1:20" ht="60">
      <c r="A2" s="43" t="s">
        <v>20</v>
      </c>
      <c r="B2" s="43" t="s">
        <v>21</v>
      </c>
      <c r="C2" s="43" t="s">
        <v>12</v>
      </c>
      <c r="D2" s="44" t="s">
        <v>22</v>
      </c>
      <c r="E2" s="44" t="s">
        <v>23</v>
      </c>
      <c r="F2" s="44" t="s">
        <v>24</v>
      </c>
      <c r="G2" s="44" t="s">
        <v>25</v>
      </c>
      <c r="H2" s="44" t="s">
        <v>26</v>
      </c>
      <c r="I2" s="44" t="s">
        <v>27</v>
      </c>
      <c r="J2" s="44" t="s">
        <v>28</v>
      </c>
      <c r="K2" s="43">
        <v>106431</v>
      </c>
      <c r="L2" s="43" t="s">
        <v>29</v>
      </c>
      <c r="M2" s="43" t="s">
        <v>30</v>
      </c>
      <c r="N2" s="43">
        <v>0.03</v>
      </c>
      <c r="O2" s="43">
        <v>0.02</v>
      </c>
      <c r="P2" s="43">
        <v>0.03</v>
      </c>
      <c r="Q2" s="43">
        <v>0.01</v>
      </c>
      <c r="R2" s="43">
        <v>0.03</v>
      </c>
      <c r="S2" s="43">
        <v>0.03</v>
      </c>
      <c r="T2" s="43">
        <v>0.04</v>
      </c>
    </row>
    <row r="3" spans="1:20" ht="60">
      <c r="A3" s="43" t="s">
        <v>20</v>
      </c>
      <c r="B3" s="43" t="s">
        <v>21</v>
      </c>
      <c r="C3" s="43" t="s">
        <v>12</v>
      </c>
      <c r="D3" s="44" t="s">
        <v>22</v>
      </c>
      <c r="E3" s="44" t="s">
        <v>23</v>
      </c>
      <c r="F3" s="44" t="s">
        <v>24</v>
      </c>
      <c r="G3" s="44" t="s">
        <v>25</v>
      </c>
      <c r="H3" s="44" t="s">
        <v>26</v>
      </c>
      <c r="I3" s="44" t="s">
        <v>27</v>
      </c>
      <c r="J3" s="44" t="s">
        <v>28</v>
      </c>
      <c r="K3" s="43">
        <v>106491</v>
      </c>
      <c r="L3" s="43" t="s">
        <v>31</v>
      </c>
      <c r="M3" s="43" t="s">
        <v>32</v>
      </c>
      <c r="N3" s="43">
        <v>0.66</v>
      </c>
      <c r="O3" s="43">
        <v>0.24</v>
      </c>
      <c r="P3" s="43">
        <v>0.54</v>
      </c>
      <c r="Q3" s="43">
        <v>0.3</v>
      </c>
      <c r="R3" s="43">
        <v>0.42</v>
      </c>
      <c r="S3" s="43">
        <v>0.38</v>
      </c>
      <c r="T3" s="43">
        <v>0.48</v>
      </c>
    </row>
    <row r="4" spans="1:20" ht="60">
      <c r="A4" s="43" t="s">
        <v>20</v>
      </c>
      <c r="B4" s="43" t="s">
        <v>21</v>
      </c>
      <c r="C4" s="43" t="s">
        <v>12</v>
      </c>
      <c r="D4" s="44" t="s">
        <v>22</v>
      </c>
      <c r="E4" s="44" t="s">
        <v>23</v>
      </c>
      <c r="F4" s="44" t="s">
        <v>24</v>
      </c>
      <c r="G4" s="44" t="s">
        <v>25</v>
      </c>
      <c r="H4" s="44" t="s">
        <v>26</v>
      </c>
      <c r="I4" s="44" t="s">
        <v>27</v>
      </c>
      <c r="J4" s="44" t="s">
        <v>28</v>
      </c>
      <c r="K4" s="43">
        <v>106551</v>
      </c>
      <c r="L4" s="43" t="s">
        <v>33</v>
      </c>
      <c r="M4" s="43" t="s">
        <v>32</v>
      </c>
      <c r="N4" s="43">
        <v>0.66</v>
      </c>
      <c r="O4" s="43">
        <v>0.24</v>
      </c>
      <c r="P4" s="43">
        <v>0.54</v>
      </c>
      <c r="Q4" s="43">
        <v>0.3</v>
      </c>
      <c r="R4" s="43">
        <v>0.42</v>
      </c>
      <c r="S4" s="43">
        <v>0.38</v>
      </c>
      <c r="T4" s="43">
        <v>0.48</v>
      </c>
    </row>
    <row r="5" spans="1:20" ht="60">
      <c r="A5" s="43" t="s">
        <v>20</v>
      </c>
      <c r="B5" s="43" t="s">
        <v>21</v>
      </c>
      <c r="C5" s="43" t="s">
        <v>12</v>
      </c>
      <c r="D5" s="44" t="s">
        <v>22</v>
      </c>
      <c r="E5" s="44" t="s">
        <v>23</v>
      </c>
      <c r="F5" s="44" t="s">
        <v>24</v>
      </c>
      <c r="G5" s="44" t="s">
        <v>25</v>
      </c>
      <c r="H5" s="44" t="s">
        <v>26</v>
      </c>
      <c r="I5" s="44" t="s">
        <v>27</v>
      </c>
      <c r="J5" s="44" t="s">
        <v>28</v>
      </c>
      <c r="K5" s="43">
        <v>37995</v>
      </c>
      <c r="L5" s="43" t="s">
        <v>34</v>
      </c>
      <c r="M5" s="43" t="s">
        <v>35</v>
      </c>
      <c r="N5" s="43">
        <v>0.03</v>
      </c>
      <c r="O5" s="43">
        <v>0.03</v>
      </c>
      <c r="P5" s="43">
        <v>0.04</v>
      </c>
      <c r="Q5" s="43">
        <v>0.03</v>
      </c>
      <c r="R5" s="43">
        <v>0.06</v>
      </c>
      <c r="S5" s="43">
        <v>0.04</v>
      </c>
      <c r="T5" s="43">
        <v>0.04</v>
      </c>
    </row>
    <row r="6" spans="1:20" ht="60">
      <c r="A6" s="43" t="s">
        <v>20</v>
      </c>
      <c r="B6" s="43" t="s">
        <v>21</v>
      </c>
      <c r="C6" s="43" t="s">
        <v>12</v>
      </c>
      <c r="D6" s="44" t="s">
        <v>22</v>
      </c>
      <c r="E6" s="44" t="s">
        <v>23</v>
      </c>
      <c r="F6" s="44" t="s">
        <v>24</v>
      </c>
      <c r="G6" s="44" t="s">
        <v>25</v>
      </c>
      <c r="H6" s="44" t="s">
        <v>26</v>
      </c>
      <c r="I6" s="44" t="s">
        <v>27</v>
      </c>
      <c r="J6" s="44" t="s">
        <v>28</v>
      </c>
      <c r="K6" s="43">
        <v>37993</v>
      </c>
      <c r="L6" s="43" t="s">
        <v>36</v>
      </c>
      <c r="M6" s="43" t="s">
        <v>35</v>
      </c>
      <c r="N6" s="43">
        <v>0.04</v>
      </c>
      <c r="O6" s="43">
        <v>0.05</v>
      </c>
      <c r="P6" s="43">
        <v>0.06</v>
      </c>
      <c r="Q6" s="43">
        <v>0.05</v>
      </c>
      <c r="R6" s="43">
        <v>0.06</v>
      </c>
      <c r="S6" s="43">
        <v>0.06</v>
      </c>
      <c r="T6" s="43">
        <v>0.06</v>
      </c>
    </row>
    <row r="7" spans="1:20" ht="60">
      <c r="A7" s="43" t="s">
        <v>20</v>
      </c>
      <c r="B7" s="43" t="s">
        <v>21</v>
      </c>
      <c r="C7" s="43" t="s">
        <v>12</v>
      </c>
      <c r="D7" s="44" t="s">
        <v>22</v>
      </c>
      <c r="E7" s="44" t="s">
        <v>23</v>
      </c>
      <c r="F7" s="44" t="s">
        <v>24</v>
      </c>
      <c r="G7" s="44" t="s">
        <v>25</v>
      </c>
      <c r="H7" s="44" t="s">
        <v>26</v>
      </c>
      <c r="I7" s="44" t="s">
        <v>27</v>
      </c>
      <c r="J7" s="44" t="s">
        <v>28</v>
      </c>
      <c r="K7" s="43">
        <v>37893</v>
      </c>
      <c r="L7" s="43" t="s">
        <v>37</v>
      </c>
      <c r="M7" s="43" t="s">
        <v>38</v>
      </c>
      <c r="N7" s="43">
        <v>0.05</v>
      </c>
      <c r="O7" s="43">
        <v>0.04</v>
      </c>
      <c r="P7" s="43">
        <v>0.05</v>
      </c>
      <c r="Q7" s="43">
        <v>0.05</v>
      </c>
      <c r="R7" s="43">
        <v>7.0000000000000007E-2</v>
      </c>
      <c r="S7" s="43">
        <v>7.0000000000000007E-2</v>
      </c>
      <c r="T7" s="43">
        <v>0.06</v>
      </c>
    </row>
    <row r="8" spans="1:20" ht="60">
      <c r="A8" s="43" t="s">
        <v>20</v>
      </c>
      <c r="B8" s="43" t="s">
        <v>21</v>
      </c>
      <c r="C8" s="43" t="s">
        <v>12</v>
      </c>
      <c r="D8" s="44" t="s">
        <v>22</v>
      </c>
      <c r="E8" s="44" t="s">
        <v>23</v>
      </c>
      <c r="F8" s="44" t="s">
        <v>24</v>
      </c>
      <c r="G8" s="44" t="s">
        <v>25</v>
      </c>
      <c r="H8" s="44" t="s">
        <v>26</v>
      </c>
      <c r="I8" s="44" t="s">
        <v>27</v>
      </c>
      <c r="J8" s="44" t="s">
        <v>28</v>
      </c>
      <c r="K8" s="43">
        <v>37997</v>
      </c>
      <c r="L8" s="43" t="s">
        <v>39</v>
      </c>
      <c r="M8" s="43" t="s">
        <v>40</v>
      </c>
      <c r="N8" s="43">
        <v>0.04</v>
      </c>
      <c r="O8" s="43">
        <v>0.06</v>
      </c>
      <c r="P8" s="43">
        <v>0.05</v>
      </c>
      <c r="Q8" s="43">
        <v>0.04</v>
      </c>
      <c r="R8" s="43">
        <v>7.0000000000000007E-2</v>
      </c>
      <c r="S8" s="43">
        <v>0.05</v>
      </c>
      <c r="T8" s="43">
        <v>0.08</v>
      </c>
    </row>
    <row r="9" spans="1:20" ht="60">
      <c r="A9" s="43" t="s">
        <v>20</v>
      </c>
      <c r="B9" s="43" t="s">
        <v>21</v>
      </c>
      <c r="C9" s="43" t="s">
        <v>12</v>
      </c>
      <c r="D9" s="44" t="s">
        <v>22</v>
      </c>
      <c r="E9" s="44" t="s">
        <v>23</v>
      </c>
      <c r="F9" s="44" t="s">
        <v>24</v>
      </c>
      <c r="G9" s="44" t="s">
        <v>25</v>
      </c>
      <c r="H9" s="44" t="s">
        <v>26</v>
      </c>
      <c r="I9" s="44" t="s">
        <v>27</v>
      </c>
      <c r="J9" s="44" t="s">
        <v>28</v>
      </c>
      <c r="K9" s="43">
        <v>37991</v>
      </c>
      <c r="L9" s="43" t="s">
        <v>41</v>
      </c>
      <c r="M9" s="43" t="s">
        <v>42</v>
      </c>
      <c r="N9" s="43">
        <v>0.19</v>
      </c>
      <c r="O9" s="43">
        <v>0.19</v>
      </c>
      <c r="P9" s="43">
        <v>0.22</v>
      </c>
      <c r="Q9" s="43">
        <v>0.2</v>
      </c>
      <c r="R9" s="43">
        <v>0.28000000000000003</v>
      </c>
      <c r="S9" s="43">
        <v>0.26</v>
      </c>
      <c r="T9" s="43">
        <v>0.25</v>
      </c>
    </row>
    <row r="10" spans="1:20" ht="60">
      <c r="A10" s="43" t="s">
        <v>20</v>
      </c>
      <c r="B10" s="43" t="s">
        <v>21</v>
      </c>
      <c r="C10" s="43" t="s">
        <v>12</v>
      </c>
      <c r="D10" s="44" t="s">
        <v>22</v>
      </c>
      <c r="E10" s="44" t="s">
        <v>23</v>
      </c>
      <c r="F10" s="44" t="s">
        <v>24</v>
      </c>
      <c r="G10" s="44" t="s">
        <v>25</v>
      </c>
      <c r="H10" s="44" t="s">
        <v>26</v>
      </c>
      <c r="I10" s="44" t="s">
        <v>27</v>
      </c>
      <c r="J10" s="44" t="s">
        <v>28</v>
      </c>
      <c r="K10" s="43">
        <v>37989</v>
      </c>
      <c r="L10" s="43" t="s">
        <v>43</v>
      </c>
      <c r="M10" s="43" t="s">
        <v>30</v>
      </c>
      <c r="N10" s="43">
        <v>0.21</v>
      </c>
      <c r="O10" s="43">
        <v>0.21</v>
      </c>
      <c r="P10" s="43">
        <v>0.24</v>
      </c>
      <c r="Q10" s="43">
        <v>0.22</v>
      </c>
      <c r="R10" s="43">
        <v>0.31</v>
      </c>
      <c r="S10" s="43">
        <v>0.28000000000000003</v>
      </c>
      <c r="T10" s="43">
        <v>0.27</v>
      </c>
    </row>
    <row r="11" spans="1:20" ht="60">
      <c r="A11" s="43" t="s">
        <v>20</v>
      </c>
      <c r="B11" s="43" t="s">
        <v>21</v>
      </c>
      <c r="C11" s="43" t="s">
        <v>12</v>
      </c>
      <c r="D11" s="44" t="s">
        <v>22</v>
      </c>
      <c r="E11" s="44" t="s">
        <v>23</v>
      </c>
      <c r="F11" s="44" t="s">
        <v>24</v>
      </c>
      <c r="G11" s="44" t="s">
        <v>25</v>
      </c>
      <c r="H11" s="44" t="s">
        <v>26</v>
      </c>
      <c r="I11" s="44" t="s">
        <v>27</v>
      </c>
      <c r="J11" s="44" t="s">
        <v>28</v>
      </c>
      <c r="K11" s="43">
        <v>37987</v>
      </c>
      <c r="L11" s="43" t="s">
        <v>44</v>
      </c>
      <c r="M11" s="43" t="s">
        <v>30</v>
      </c>
      <c r="N11" s="43">
        <v>0.05</v>
      </c>
      <c r="O11" s="43">
        <v>0.05</v>
      </c>
      <c r="P11" s="43">
        <v>0.06</v>
      </c>
      <c r="Q11" s="43">
        <v>0.06</v>
      </c>
      <c r="R11" s="43">
        <v>0.08</v>
      </c>
      <c r="S11" s="43">
        <v>7.0000000000000007E-2</v>
      </c>
      <c r="T11" s="43">
        <v>7.0000000000000007E-2</v>
      </c>
    </row>
    <row r="12" spans="1:20" ht="60">
      <c r="A12" s="43" t="s">
        <v>20</v>
      </c>
      <c r="B12" s="43" t="s">
        <v>21</v>
      </c>
      <c r="C12" s="43" t="s">
        <v>12</v>
      </c>
      <c r="D12" s="44" t="s">
        <v>22</v>
      </c>
      <c r="E12" s="44" t="s">
        <v>23</v>
      </c>
      <c r="F12" s="44" t="s">
        <v>24</v>
      </c>
      <c r="G12" s="44" t="s">
        <v>25</v>
      </c>
      <c r="H12" s="44" t="s">
        <v>26</v>
      </c>
      <c r="I12" s="44" t="s">
        <v>27</v>
      </c>
      <c r="J12" s="44" t="s">
        <v>28</v>
      </c>
      <c r="K12" s="43">
        <v>37862</v>
      </c>
      <c r="L12" s="43" t="s">
        <v>45</v>
      </c>
      <c r="M12" s="43" t="s">
        <v>46</v>
      </c>
      <c r="N12" s="43">
        <v>0.56999999999999995</v>
      </c>
      <c r="O12" s="43">
        <v>0.5</v>
      </c>
      <c r="P12" s="43">
        <v>0.62</v>
      </c>
      <c r="Q12" s="43">
        <v>0.59</v>
      </c>
      <c r="R12" s="43">
        <v>0.71</v>
      </c>
      <c r="S12" s="43">
        <v>0.82</v>
      </c>
      <c r="T12" s="43">
        <v>0.65</v>
      </c>
    </row>
    <row r="13" spans="1:20" ht="60">
      <c r="A13" s="43" t="s">
        <v>20</v>
      </c>
      <c r="B13" s="43" t="s">
        <v>21</v>
      </c>
      <c r="C13" s="43" t="s">
        <v>12</v>
      </c>
      <c r="D13" s="44" t="s">
        <v>22</v>
      </c>
      <c r="E13" s="44" t="s">
        <v>23</v>
      </c>
      <c r="F13" s="44" t="s">
        <v>24</v>
      </c>
      <c r="G13" s="44" t="s">
        <v>25</v>
      </c>
      <c r="H13" s="44" t="s">
        <v>26</v>
      </c>
      <c r="I13" s="44" t="s">
        <v>27</v>
      </c>
      <c r="J13" s="44" t="s">
        <v>28</v>
      </c>
      <c r="K13" s="43">
        <v>38892</v>
      </c>
      <c r="L13" s="43" t="s">
        <v>47</v>
      </c>
      <c r="M13" s="43" t="s">
        <v>42</v>
      </c>
      <c r="N13" s="43">
        <v>0.18</v>
      </c>
      <c r="O13" s="43">
        <v>0.19</v>
      </c>
      <c r="P13" s="43">
        <v>0.24</v>
      </c>
      <c r="Q13" s="43">
        <v>0.2</v>
      </c>
      <c r="R13" s="43">
        <v>0.27</v>
      </c>
      <c r="S13" s="43">
        <v>0.2</v>
      </c>
      <c r="T13" s="43">
        <v>0.24</v>
      </c>
    </row>
    <row r="14" spans="1:20" ht="60">
      <c r="A14" s="43" t="s">
        <v>20</v>
      </c>
      <c r="B14" s="43" t="s">
        <v>21</v>
      </c>
      <c r="C14" s="43" t="s">
        <v>12</v>
      </c>
      <c r="D14" s="44" t="s">
        <v>22</v>
      </c>
      <c r="E14" s="44" t="s">
        <v>23</v>
      </c>
      <c r="F14" s="44" t="s">
        <v>24</v>
      </c>
      <c r="G14" s="44" t="s">
        <v>25</v>
      </c>
      <c r="H14" s="44" t="s">
        <v>26</v>
      </c>
      <c r="I14" s="44" t="s">
        <v>27</v>
      </c>
      <c r="J14" s="44" t="s">
        <v>28</v>
      </c>
      <c r="K14" s="43">
        <v>37872</v>
      </c>
      <c r="L14" s="43" t="s">
        <v>48</v>
      </c>
      <c r="M14" s="43" t="s">
        <v>49</v>
      </c>
      <c r="N14" s="43">
        <v>0.13</v>
      </c>
      <c r="O14" s="43">
        <v>0.18</v>
      </c>
      <c r="P14" s="43">
        <v>0.25</v>
      </c>
      <c r="Q14" s="43">
        <v>0.3</v>
      </c>
      <c r="R14" s="43">
        <v>0.32</v>
      </c>
      <c r="S14" s="43">
        <v>0.28999999999999998</v>
      </c>
      <c r="T14" s="43">
        <v>0.21</v>
      </c>
    </row>
    <row r="15" spans="1:20" ht="60">
      <c r="A15" s="43" t="s">
        <v>20</v>
      </c>
      <c r="B15" s="43" t="s">
        <v>21</v>
      </c>
      <c r="C15" s="43" t="s">
        <v>12</v>
      </c>
      <c r="D15" s="44" t="s">
        <v>22</v>
      </c>
      <c r="E15" s="44" t="s">
        <v>23</v>
      </c>
      <c r="F15" s="44" t="s">
        <v>24</v>
      </c>
      <c r="G15" s="44" t="s">
        <v>25</v>
      </c>
      <c r="H15" s="44" t="s">
        <v>26</v>
      </c>
      <c r="I15" s="44" t="s">
        <v>27</v>
      </c>
      <c r="J15" s="44" t="s">
        <v>28</v>
      </c>
      <c r="K15" s="43">
        <v>37876</v>
      </c>
      <c r="L15" s="43" t="s">
        <v>50</v>
      </c>
      <c r="M15" s="43" t="s">
        <v>51</v>
      </c>
      <c r="N15" s="43">
        <v>0.36</v>
      </c>
      <c r="O15" s="43">
        <v>0.37</v>
      </c>
      <c r="P15" s="43">
        <v>0.43</v>
      </c>
      <c r="Q15" s="43">
        <v>0.39</v>
      </c>
      <c r="R15" s="43">
        <v>0.54</v>
      </c>
      <c r="S15" s="43">
        <v>0.52</v>
      </c>
      <c r="T15" s="43">
        <v>0.42</v>
      </c>
    </row>
    <row r="16" spans="1:20" ht="60">
      <c r="A16" s="43" t="s">
        <v>20</v>
      </c>
      <c r="B16" s="43" t="s">
        <v>21</v>
      </c>
      <c r="C16" s="43" t="s">
        <v>12</v>
      </c>
      <c r="D16" s="44" t="s">
        <v>22</v>
      </c>
      <c r="E16" s="44" t="s">
        <v>23</v>
      </c>
      <c r="F16" s="44" t="s">
        <v>24</v>
      </c>
      <c r="G16" s="44" t="s">
        <v>25</v>
      </c>
      <c r="H16" s="44" t="s">
        <v>26</v>
      </c>
      <c r="I16" s="44" t="s">
        <v>27</v>
      </c>
      <c r="J16" s="44" t="s">
        <v>28</v>
      </c>
      <c r="K16" s="43">
        <v>37911</v>
      </c>
      <c r="L16" s="43" t="s">
        <v>52</v>
      </c>
      <c r="M16" s="43" t="s">
        <v>51</v>
      </c>
      <c r="N16" s="43">
        <v>0.19</v>
      </c>
      <c r="O16" s="43">
        <v>0.2</v>
      </c>
      <c r="P16" s="43">
        <v>0.21</v>
      </c>
      <c r="Q16" s="43">
        <v>0.23</v>
      </c>
      <c r="R16" s="43">
        <v>0.27</v>
      </c>
      <c r="S16" s="43">
        <v>0.25</v>
      </c>
      <c r="T16" s="43">
        <v>0.25</v>
      </c>
    </row>
    <row r="17" spans="1:20" ht="60">
      <c r="A17" s="43" t="s">
        <v>20</v>
      </c>
      <c r="B17" s="43" t="s">
        <v>21</v>
      </c>
      <c r="C17" s="43" t="s">
        <v>12</v>
      </c>
      <c r="D17" s="44" t="s">
        <v>22</v>
      </c>
      <c r="E17" s="44" t="s">
        <v>23</v>
      </c>
      <c r="F17" s="44" t="s">
        <v>24</v>
      </c>
      <c r="G17" s="44" t="s">
        <v>25</v>
      </c>
      <c r="H17" s="44" t="s">
        <v>26</v>
      </c>
      <c r="I17" s="44" t="s">
        <v>27</v>
      </c>
      <c r="J17" s="44" t="s">
        <v>28</v>
      </c>
      <c r="K17" s="43">
        <v>40303</v>
      </c>
      <c r="L17" s="43" t="s">
        <v>53</v>
      </c>
      <c r="M17" s="43" t="s">
        <v>54</v>
      </c>
      <c r="N17" s="43">
        <v>0.39</v>
      </c>
      <c r="O17" s="43">
        <v>0.42</v>
      </c>
      <c r="P17" s="43">
        <v>0.37</v>
      </c>
      <c r="Q17" s="43">
        <v>0.35</v>
      </c>
      <c r="R17" s="43">
        <v>0.5</v>
      </c>
      <c r="S17" s="43">
        <v>0.44</v>
      </c>
      <c r="T17" s="43">
        <v>0.66</v>
      </c>
    </row>
    <row r="18" spans="1:20" ht="60">
      <c r="A18" s="43" t="s">
        <v>20</v>
      </c>
      <c r="B18" s="43" t="s">
        <v>21</v>
      </c>
      <c r="C18" s="43" t="s">
        <v>12</v>
      </c>
      <c r="D18" s="44" t="s">
        <v>22</v>
      </c>
      <c r="E18" s="44" t="s">
        <v>23</v>
      </c>
      <c r="F18" s="44" t="s">
        <v>24</v>
      </c>
      <c r="G18" s="44" t="s">
        <v>25</v>
      </c>
      <c r="H18" s="44" t="s">
        <v>26</v>
      </c>
      <c r="I18" s="44" t="s">
        <v>27</v>
      </c>
      <c r="J18" s="44" t="s">
        <v>28</v>
      </c>
      <c r="K18" s="43">
        <v>37887</v>
      </c>
      <c r="L18" s="43" t="s">
        <v>55</v>
      </c>
      <c r="M18" s="43" t="s">
        <v>56</v>
      </c>
      <c r="N18" s="43">
        <v>0.72</v>
      </c>
      <c r="O18" s="43">
        <v>0.7</v>
      </c>
      <c r="P18" s="43">
        <v>1.05</v>
      </c>
      <c r="Q18" s="43">
        <v>1.1000000000000001</v>
      </c>
      <c r="R18" s="43">
        <v>1.1299999999999999</v>
      </c>
      <c r="S18" s="43">
        <v>1.1599999999999999</v>
      </c>
      <c r="T18" s="43">
        <v>0.95</v>
      </c>
    </row>
    <row r="19" spans="1:20" ht="60">
      <c r="A19" s="43" t="s">
        <v>20</v>
      </c>
      <c r="B19" s="43" t="s">
        <v>21</v>
      </c>
      <c r="C19" s="43" t="s">
        <v>12</v>
      </c>
      <c r="D19" s="44" t="s">
        <v>22</v>
      </c>
      <c r="E19" s="44" t="s">
        <v>23</v>
      </c>
      <c r="F19" s="44" t="s">
        <v>24</v>
      </c>
      <c r="G19" s="44" t="s">
        <v>25</v>
      </c>
      <c r="H19" s="44" t="s">
        <v>26</v>
      </c>
      <c r="I19" s="44" t="s">
        <v>27</v>
      </c>
      <c r="J19" s="44" t="s">
        <v>28</v>
      </c>
      <c r="K19" s="43">
        <v>37897</v>
      </c>
      <c r="L19" s="43" t="s">
        <v>57</v>
      </c>
      <c r="M19" s="43" t="s">
        <v>58</v>
      </c>
      <c r="N19" s="43">
        <v>0.05</v>
      </c>
      <c r="O19" s="43">
        <v>0.5</v>
      </c>
      <c r="P19" s="43">
        <v>0.78</v>
      </c>
      <c r="Q19" s="43">
        <v>0.38</v>
      </c>
      <c r="R19" s="43">
        <v>0.3</v>
      </c>
      <c r="S19" s="43">
        <v>0.3</v>
      </c>
      <c r="T19" s="43">
        <v>0.73</v>
      </c>
    </row>
    <row r="20" spans="1:20" ht="60">
      <c r="A20" s="43" t="s">
        <v>20</v>
      </c>
      <c r="B20" s="43" t="s">
        <v>21</v>
      </c>
      <c r="C20" s="43" t="s">
        <v>12</v>
      </c>
      <c r="D20" s="44" t="s">
        <v>22</v>
      </c>
      <c r="E20" s="44" t="s">
        <v>23</v>
      </c>
      <c r="F20" s="44" t="s">
        <v>24</v>
      </c>
      <c r="G20" s="44" t="s">
        <v>25</v>
      </c>
      <c r="H20" s="44" t="s">
        <v>26</v>
      </c>
      <c r="I20" s="44" t="s">
        <v>27</v>
      </c>
      <c r="J20" s="44" t="s">
        <v>28</v>
      </c>
      <c r="K20" s="43">
        <v>38352</v>
      </c>
      <c r="L20" s="43" t="s">
        <v>59</v>
      </c>
      <c r="M20" s="43" t="s">
        <v>60</v>
      </c>
      <c r="N20" s="43">
        <v>0</v>
      </c>
      <c r="O20" s="43">
        <v>0.02</v>
      </c>
      <c r="P20" s="43">
        <v>0.02</v>
      </c>
      <c r="Q20" s="43">
        <v>0.01</v>
      </c>
      <c r="R20" s="43">
        <v>0.03</v>
      </c>
      <c r="S20" s="43">
        <v>0.02</v>
      </c>
      <c r="T20" s="43">
        <v>0.03</v>
      </c>
    </row>
    <row r="21" spans="1:20" ht="60">
      <c r="A21" s="43" t="s">
        <v>20</v>
      </c>
      <c r="B21" s="43" t="s">
        <v>21</v>
      </c>
      <c r="C21" s="43" t="s">
        <v>12</v>
      </c>
      <c r="D21" s="44" t="s">
        <v>22</v>
      </c>
      <c r="E21" s="44" t="s">
        <v>23</v>
      </c>
      <c r="F21" s="44" t="s">
        <v>24</v>
      </c>
      <c r="G21" s="44" t="s">
        <v>25</v>
      </c>
      <c r="H21" s="44" t="s">
        <v>26</v>
      </c>
      <c r="I21" s="44" t="s">
        <v>27</v>
      </c>
      <c r="J21" s="44" t="s">
        <v>28</v>
      </c>
      <c r="K21" s="43">
        <v>12945</v>
      </c>
      <c r="L21" s="43" t="s">
        <v>61</v>
      </c>
      <c r="M21" s="43" t="s">
        <v>62</v>
      </c>
      <c r="N21" s="43">
        <v>0.82</v>
      </c>
      <c r="O21" s="43">
        <v>0.8</v>
      </c>
      <c r="P21" s="43">
        <v>1.05</v>
      </c>
      <c r="Q21" s="43">
        <v>1.03</v>
      </c>
      <c r="R21" s="43">
        <v>1.29</v>
      </c>
      <c r="S21" s="43">
        <v>1.1599999999999999</v>
      </c>
      <c r="T21" s="43">
        <v>1.1000000000000001</v>
      </c>
    </row>
    <row r="22" spans="1:20" ht="60">
      <c r="A22" s="43" t="s">
        <v>20</v>
      </c>
      <c r="B22" s="43" t="s">
        <v>21</v>
      </c>
      <c r="C22" s="43" t="s">
        <v>12</v>
      </c>
      <c r="D22" s="44" t="s">
        <v>22</v>
      </c>
      <c r="E22" s="44" t="s">
        <v>23</v>
      </c>
      <c r="F22" s="44" t="s">
        <v>24</v>
      </c>
      <c r="G22" s="44" t="s">
        <v>25</v>
      </c>
      <c r="H22" s="44" t="s">
        <v>26</v>
      </c>
      <c r="I22" s="44" t="s">
        <v>27</v>
      </c>
      <c r="J22" s="44" t="s">
        <v>28</v>
      </c>
      <c r="K22" s="43">
        <v>37378</v>
      </c>
      <c r="L22" s="43" t="s">
        <v>63</v>
      </c>
      <c r="M22" s="43" t="s">
        <v>30</v>
      </c>
      <c r="N22" s="43">
        <v>0.01</v>
      </c>
      <c r="O22" s="43">
        <v>0.01</v>
      </c>
      <c r="P22" s="43">
        <v>0.01</v>
      </c>
      <c r="Q22" s="43">
        <v>0.01</v>
      </c>
      <c r="R22" s="43">
        <v>0.01</v>
      </c>
      <c r="S22" s="43">
        <v>0.01</v>
      </c>
      <c r="T22" s="43">
        <v>0.01</v>
      </c>
    </row>
    <row r="23" spans="1:20" ht="60">
      <c r="A23" s="43" t="s">
        <v>20</v>
      </c>
      <c r="B23" s="43" t="s">
        <v>21</v>
      </c>
      <c r="C23" s="43" t="s">
        <v>12</v>
      </c>
      <c r="D23" s="44" t="s">
        <v>22</v>
      </c>
      <c r="E23" s="44" t="s">
        <v>23</v>
      </c>
      <c r="F23" s="44" t="s">
        <v>24</v>
      </c>
      <c r="G23" s="44" t="s">
        <v>25</v>
      </c>
      <c r="H23" s="44" t="s">
        <v>26</v>
      </c>
      <c r="I23" s="44" t="s">
        <v>27</v>
      </c>
      <c r="J23" s="44" t="s">
        <v>28</v>
      </c>
      <c r="K23" s="43">
        <v>37856</v>
      </c>
      <c r="L23" s="43" t="s">
        <v>64</v>
      </c>
      <c r="M23" s="43" t="s">
        <v>30</v>
      </c>
      <c r="N23" s="43">
        <v>0.06</v>
      </c>
      <c r="O23" s="43">
        <v>0.05</v>
      </c>
      <c r="P23" s="43">
        <v>0.06</v>
      </c>
      <c r="Q23" s="43">
        <v>0.05</v>
      </c>
      <c r="R23" s="43">
        <v>0.09</v>
      </c>
      <c r="S23" s="43">
        <v>0.08</v>
      </c>
      <c r="T23" s="43">
        <v>7.0000000000000007E-2</v>
      </c>
    </row>
    <row r="24" spans="1:20" ht="60">
      <c r="A24" s="43" t="s">
        <v>20</v>
      </c>
      <c r="B24" s="43" t="s">
        <v>21</v>
      </c>
      <c r="C24" s="43" t="s">
        <v>12</v>
      </c>
      <c r="D24" s="44" t="s">
        <v>22</v>
      </c>
      <c r="E24" s="44" t="s">
        <v>23</v>
      </c>
      <c r="F24" s="44" t="s">
        <v>24</v>
      </c>
      <c r="G24" s="44" t="s">
        <v>25</v>
      </c>
      <c r="H24" s="44" t="s">
        <v>26</v>
      </c>
      <c r="I24" s="44" t="s">
        <v>27</v>
      </c>
      <c r="J24" s="44" t="s">
        <v>28</v>
      </c>
      <c r="K24" s="43">
        <v>37854</v>
      </c>
      <c r="L24" s="43" t="s">
        <v>65</v>
      </c>
      <c r="M24" s="43" t="s">
        <v>30</v>
      </c>
      <c r="N24" s="43">
        <v>0.11</v>
      </c>
      <c r="O24" s="43">
        <v>0.09</v>
      </c>
      <c r="P24" s="43">
        <v>0.14000000000000001</v>
      </c>
      <c r="Q24" s="43">
        <v>0.09</v>
      </c>
      <c r="R24" s="43">
        <v>0.14000000000000001</v>
      </c>
      <c r="S24" s="43">
        <v>0.13</v>
      </c>
      <c r="T24" s="43">
        <v>0.14000000000000001</v>
      </c>
    </row>
    <row r="25" spans="1:20" ht="60">
      <c r="A25" s="43" t="s">
        <v>20</v>
      </c>
      <c r="B25" s="43" t="s">
        <v>21</v>
      </c>
      <c r="C25" s="43" t="s">
        <v>12</v>
      </c>
      <c r="D25" s="44" t="s">
        <v>22</v>
      </c>
      <c r="E25" s="44" t="s">
        <v>23</v>
      </c>
      <c r="F25" s="44" t="s">
        <v>24</v>
      </c>
      <c r="G25" s="44" t="s">
        <v>25</v>
      </c>
      <c r="H25" s="44" t="s">
        <v>26</v>
      </c>
      <c r="I25" s="44" t="s">
        <v>27</v>
      </c>
      <c r="J25" s="44" t="s">
        <v>28</v>
      </c>
      <c r="K25" s="43">
        <v>11172</v>
      </c>
      <c r="L25" s="43" t="s">
        <v>66</v>
      </c>
      <c r="M25" s="43" t="s">
        <v>67</v>
      </c>
      <c r="N25" s="43">
        <v>7.0000000000000007E-2</v>
      </c>
      <c r="O25" s="43">
        <v>0.1</v>
      </c>
      <c r="P25" s="43">
        <v>0.04</v>
      </c>
      <c r="Q25" s="43">
        <v>0.03</v>
      </c>
      <c r="R25" s="43">
        <v>0.08</v>
      </c>
      <c r="S25" s="43">
        <v>7.0000000000000007E-2</v>
      </c>
      <c r="T25" s="43">
        <v>7.0000000000000007E-2</v>
      </c>
    </row>
    <row r="26" spans="1:20" ht="60">
      <c r="A26" s="43" t="s">
        <v>20</v>
      </c>
      <c r="B26" s="43" t="s">
        <v>21</v>
      </c>
      <c r="C26" s="43" t="s">
        <v>12</v>
      </c>
      <c r="D26" s="44" t="s">
        <v>22</v>
      </c>
      <c r="E26" s="44" t="s">
        <v>23</v>
      </c>
      <c r="F26" s="44" t="s">
        <v>24</v>
      </c>
      <c r="G26" s="44" t="s">
        <v>25</v>
      </c>
      <c r="H26" s="44" t="s">
        <v>26</v>
      </c>
      <c r="I26" s="44" t="s">
        <v>27</v>
      </c>
      <c r="J26" s="44" t="s">
        <v>28</v>
      </c>
      <c r="K26" s="43">
        <v>39744</v>
      </c>
      <c r="L26" s="43" t="s">
        <v>68</v>
      </c>
      <c r="M26" s="43" t="s">
        <v>30</v>
      </c>
      <c r="N26" s="43">
        <v>0.13</v>
      </c>
      <c r="O26" s="43">
        <v>0.14000000000000001</v>
      </c>
      <c r="P26" s="43">
        <v>0.19</v>
      </c>
      <c r="Q26" s="43">
        <v>0.17</v>
      </c>
      <c r="R26" s="43">
        <v>0.19</v>
      </c>
      <c r="S26" s="43">
        <v>0.17</v>
      </c>
      <c r="T26" s="43">
        <v>0.2</v>
      </c>
    </row>
    <row r="27" spans="1:20" ht="60">
      <c r="A27" s="43" t="s">
        <v>20</v>
      </c>
      <c r="B27" s="43" t="s">
        <v>21</v>
      </c>
      <c r="C27" s="43" t="s">
        <v>12</v>
      </c>
      <c r="D27" s="44" t="s">
        <v>22</v>
      </c>
      <c r="E27" s="44" t="s">
        <v>23</v>
      </c>
      <c r="F27" s="44" t="s">
        <v>24</v>
      </c>
      <c r="G27" s="44" t="s">
        <v>25</v>
      </c>
      <c r="H27" s="44" t="s">
        <v>26</v>
      </c>
      <c r="I27" s="44" t="s">
        <v>27</v>
      </c>
      <c r="J27" s="44" t="s">
        <v>28</v>
      </c>
      <c r="K27" s="43">
        <v>16520</v>
      </c>
      <c r="L27" s="43" t="s">
        <v>69</v>
      </c>
      <c r="M27" s="43" t="s">
        <v>70</v>
      </c>
      <c r="N27" s="43">
        <v>0.04</v>
      </c>
      <c r="O27" s="43">
        <v>0.13</v>
      </c>
      <c r="P27" s="43">
        <v>0.04</v>
      </c>
      <c r="Q27" s="43">
        <v>0.04</v>
      </c>
      <c r="R27" s="43">
        <v>0.17</v>
      </c>
      <c r="S27" s="43">
        <v>0</v>
      </c>
      <c r="T27" s="43">
        <v>0.13</v>
      </c>
    </row>
    <row r="28" spans="1:20" ht="60">
      <c r="A28" s="43" t="s">
        <v>20</v>
      </c>
      <c r="B28" s="43" t="s">
        <v>21</v>
      </c>
      <c r="C28" s="43" t="s">
        <v>12</v>
      </c>
      <c r="D28" s="44" t="s">
        <v>22</v>
      </c>
      <c r="E28" s="44" t="s">
        <v>23</v>
      </c>
      <c r="F28" s="44" t="s">
        <v>24</v>
      </c>
      <c r="G28" s="44" t="s">
        <v>25</v>
      </c>
      <c r="H28" s="44" t="s">
        <v>26</v>
      </c>
      <c r="I28" s="44" t="s">
        <v>27</v>
      </c>
      <c r="J28" s="44" t="s">
        <v>28</v>
      </c>
      <c r="K28" s="43">
        <v>12153</v>
      </c>
      <c r="L28" s="43" t="s">
        <v>71</v>
      </c>
      <c r="M28" s="43" t="s">
        <v>72</v>
      </c>
      <c r="N28" s="43">
        <v>0.01</v>
      </c>
      <c r="O28" s="43">
        <v>0.02</v>
      </c>
      <c r="P28" s="43">
        <v>0.03</v>
      </c>
      <c r="Q28" s="43">
        <v>0.02</v>
      </c>
      <c r="R28" s="43">
        <v>0.03</v>
      </c>
      <c r="S28" s="43">
        <v>0.04</v>
      </c>
      <c r="T28" s="43">
        <v>0.03</v>
      </c>
    </row>
    <row r="29" spans="1:20" ht="60">
      <c r="A29" s="43" t="s">
        <v>20</v>
      </c>
      <c r="B29" s="43" t="s">
        <v>21</v>
      </c>
      <c r="C29" s="43" t="s">
        <v>12</v>
      </c>
      <c r="D29" s="44" t="s">
        <v>22</v>
      </c>
      <c r="E29" s="44" t="s">
        <v>23</v>
      </c>
      <c r="F29" s="44" t="s">
        <v>24</v>
      </c>
      <c r="G29" s="44" t="s">
        <v>25</v>
      </c>
      <c r="H29" s="44" t="s">
        <v>26</v>
      </c>
      <c r="I29" s="44" t="s">
        <v>27</v>
      </c>
      <c r="J29" s="44" t="s">
        <v>28</v>
      </c>
      <c r="K29" s="43">
        <v>14602</v>
      </c>
      <c r="L29" s="43" t="s">
        <v>73</v>
      </c>
      <c r="M29" s="43" t="s">
        <v>74</v>
      </c>
      <c r="N29" s="43">
        <v>0.1</v>
      </c>
      <c r="O29" s="43">
        <v>0.03</v>
      </c>
      <c r="P29" s="43">
        <v>0.03</v>
      </c>
      <c r="Q29" s="43">
        <v>0.03</v>
      </c>
      <c r="R29" s="43">
        <v>7.0000000000000007E-2</v>
      </c>
      <c r="S29" s="43">
        <v>0.1</v>
      </c>
      <c r="T29" s="43">
        <v>0.1</v>
      </c>
    </row>
    <row r="30" spans="1:20" ht="60">
      <c r="A30" s="43" t="s">
        <v>20</v>
      </c>
      <c r="B30" s="43" t="s">
        <v>21</v>
      </c>
      <c r="C30" s="43" t="s">
        <v>12</v>
      </c>
      <c r="D30" s="44" t="s">
        <v>22</v>
      </c>
      <c r="E30" s="44" t="s">
        <v>23</v>
      </c>
      <c r="F30" s="44" t="s">
        <v>24</v>
      </c>
      <c r="G30" s="44" t="s">
        <v>25</v>
      </c>
      <c r="H30" s="44" t="s">
        <v>26</v>
      </c>
      <c r="I30" s="44" t="s">
        <v>27</v>
      </c>
      <c r="J30" s="44" t="s">
        <v>28</v>
      </c>
      <c r="K30" s="43">
        <v>38239</v>
      </c>
      <c r="L30" s="43" t="s">
        <v>75</v>
      </c>
      <c r="M30" s="43" t="s">
        <v>76</v>
      </c>
      <c r="N30" s="43">
        <v>2</v>
      </c>
      <c r="O30" s="43">
        <v>0</v>
      </c>
      <c r="P30" s="43">
        <v>1</v>
      </c>
      <c r="Q30" s="43">
        <v>0</v>
      </c>
      <c r="R30" s="43">
        <v>1</v>
      </c>
      <c r="S30" s="43">
        <v>2</v>
      </c>
      <c r="T30" s="43">
        <v>0</v>
      </c>
    </row>
    <row r="31" spans="1:20" ht="60">
      <c r="A31" s="43" t="s">
        <v>20</v>
      </c>
      <c r="B31" s="43" t="s">
        <v>21</v>
      </c>
      <c r="C31" s="43" t="s">
        <v>12</v>
      </c>
      <c r="D31" s="44" t="s">
        <v>22</v>
      </c>
      <c r="E31" s="44" t="s">
        <v>23</v>
      </c>
      <c r="F31" s="44" t="s">
        <v>24</v>
      </c>
      <c r="G31" s="44" t="s">
        <v>25</v>
      </c>
      <c r="H31" s="44" t="s">
        <v>26</v>
      </c>
      <c r="I31" s="44" t="s">
        <v>27</v>
      </c>
      <c r="J31" s="44" t="s">
        <v>28</v>
      </c>
      <c r="K31" s="43">
        <v>36224</v>
      </c>
      <c r="L31" s="43" t="s">
        <v>77</v>
      </c>
      <c r="M31" s="43" t="s">
        <v>78</v>
      </c>
      <c r="N31" s="43">
        <v>0.01</v>
      </c>
      <c r="O31" s="43">
        <v>0.01</v>
      </c>
      <c r="P31" s="43">
        <v>0.01</v>
      </c>
      <c r="Q31" s="43">
        <v>0.01</v>
      </c>
      <c r="R31" s="43">
        <v>0.03</v>
      </c>
      <c r="S31" s="43">
        <v>0.03</v>
      </c>
      <c r="T31" s="43">
        <v>0.01</v>
      </c>
    </row>
    <row r="32" spans="1:20" ht="60">
      <c r="A32" s="43" t="s">
        <v>20</v>
      </c>
      <c r="B32" s="43" t="s">
        <v>21</v>
      </c>
      <c r="C32" s="43" t="s">
        <v>12</v>
      </c>
      <c r="D32" s="44" t="s">
        <v>22</v>
      </c>
      <c r="E32" s="44" t="s">
        <v>23</v>
      </c>
      <c r="F32" s="44" t="s">
        <v>24</v>
      </c>
      <c r="G32" s="44" t="s">
        <v>25</v>
      </c>
      <c r="H32" s="44" t="s">
        <v>26</v>
      </c>
      <c r="I32" s="44" t="s">
        <v>27</v>
      </c>
      <c r="J32" s="44" t="s">
        <v>28</v>
      </c>
      <c r="K32" s="43">
        <v>36128</v>
      </c>
      <c r="L32" s="43" t="s">
        <v>79</v>
      </c>
      <c r="M32" s="43" t="s">
        <v>78</v>
      </c>
      <c r="N32" s="43">
        <v>0.03</v>
      </c>
      <c r="O32" s="43">
        <v>0.02</v>
      </c>
      <c r="P32" s="43">
        <v>0.05</v>
      </c>
      <c r="Q32" s="43">
        <v>0.03</v>
      </c>
      <c r="R32" s="43">
        <v>0.05</v>
      </c>
      <c r="S32" s="43">
        <v>0.01</v>
      </c>
      <c r="T32" s="43">
        <v>0.04</v>
      </c>
    </row>
    <row r="33" spans="1:20" ht="60">
      <c r="A33" s="43" t="s">
        <v>20</v>
      </c>
      <c r="B33" s="43" t="s">
        <v>21</v>
      </c>
      <c r="C33" s="43" t="s">
        <v>12</v>
      </c>
      <c r="D33" s="44" t="s">
        <v>22</v>
      </c>
      <c r="E33" s="44" t="s">
        <v>23</v>
      </c>
      <c r="F33" s="44" t="s">
        <v>24</v>
      </c>
      <c r="G33" s="44" t="s">
        <v>25</v>
      </c>
      <c r="H33" s="44" t="s">
        <v>26</v>
      </c>
      <c r="I33" s="44" t="s">
        <v>27</v>
      </c>
      <c r="J33" s="44" t="s">
        <v>28</v>
      </c>
      <c r="K33" s="43">
        <v>38531</v>
      </c>
      <c r="L33" s="43" t="s">
        <v>80</v>
      </c>
      <c r="M33" s="43" t="s">
        <v>78</v>
      </c>
      <c r="N33" s="43">
        <v>0.01</v>
      </c>
      <c r="O33" s="43">
        <v>0</v>
      </c>
      <c r="P33" s="43">
        <v>0</v>
      </c>
      <c r="Q33" s="43">
        <v>0.01</v>
      </c>
      <c r="R33" s="43">
        <v>0.01</v>
      </c>
      <c r="S33" s="43">
        <v>0</v>
      </c>
      <c r="T33" s="43">
        <v>0.01</v>
      </c>
    </row>
    <row r="34" spans="1:20" ht="60">
      <c r="A34" s="43" t="s">
        <v>20</v>
      </c>
      <c r="B34" s="43" t="s">
        <v>21</v>
      </c>
      <c r="C34" s="43" t="s">
        <v>12</v>
      </c>
      <c r="D34" s="44" t="s">
        <v>22</v>
      </c>
      <c r="E34" s="44" t="s">
        <v>23</v>
      </c>
      <c r="F34" s="44" t="s">
        <v>24</v>
      </c>
      <c r="G34" s="44" t="s">
        <v>25</v>
      </c>
      <c r="H34" s="44" t="s">
        <v>26</v>
      </c>
      <c r="I34" s="44" t="s">
        <v>27</v>
      </c>
      <c r="J34" s="44" t="s">
        <v>28</v>
      </c>
      <c r="K34" s="43">
        <v>100399</v>
      </c>
      <c r="L34" s="43" t="s">
        <v>81</v>
      </c>
      <c r="M34" s="43" t="s">
        <v>82</v>
      </c>
      <c r="N34" s="43">
        <v>0.06</v>
      </c>
      <c r="O34" s="43">
        <v>0.06</v>
      </c>
      <c r="P34" s="43">
        <v>0</v>
      </c>
      <c r="Q34" s="43">
        <v>0</v>
      </c>
      <c r="R34" s="43">
        <v>0</v>
      </c>
      <c r="S34" s="43">
        <v>0</v>
      </c>
      <c r="T34" s="43">
        <v>0.11</v>
      </c>
    </row>
    <row r="35" spans="1:20" ht="60">
      <c r="A35" s="43" t="s">
        <v>20</v>
      </c>
      <c r="B35" s="43" t="s">
        <v>21</v>
      </c>
      <c r="C35" s="43" t="s">
        <v>12</v>
      </c>
      <c r="D35" s="44" t="s">
        <v>22</v>
      </c>
      <c r="E35" s="44" t="s">
        <v>23</v>
      </c>
      <c r="F35" s="44" t="s">
        <v>24</v>
      </c>
      <c r="G35" s="44" t="s">
        <v>25</v>
      </c>
      <c r="H35" s="44" t="s">
        <v>26</v>
      </c>
      <c r="I35" s="44" t="s">
        <v>27</v>
      </c>
      <c r="J35" s="44" t="s">
        <v>28</v>
      </c>
      <c r="K35" s="43">
        <v>100400</v>
      </c>
      <c r="L35" s="43" t="s">
        <v>83</v>
      </c>
      <c r="M35" s="43" t="s">
        <v>70</v>
      </c>
      <c r="N35" s="43">
        <v>0.04</v>
      </c>
      <c r="O35" s="43">
        <v>0.08</v>
      </c>
      <c r="P35" s="43">
        <v>0.04</v>
      </c>
      <c r="Q35" s="43">
        <v>0.04</v>
      </c>
      <c r="R35" s="43">
        <v>0.08</v>
      </c>
      <c r="S35" s="43">
        <v>0.13</v>
      </c>
      <c r="T35" s="43">
        <v>0</v>
      </c>
    </row>
    <row r="36" spans="1:20" ht="60">
      <c r="A36" s="43" t="s">
        <v>20</v>
      </c>
      <c r="B36" s="43" t="s">
        <v>21</v>
      </c>
      <c r="C36" s="43" t="s">
        <v>12</v>
      </c>
      <c r="D36" s="44" t="s">
        <v>22</v>
      </c>
      <c r="E36" s="44" t="s">
        <v>23</v>
      </c>
      <c r="F36" s="44" t="s">
        <v>24</v>
      </c>
      <c r="G36" s="44" t="s">
        <v>25</v>
      </c>
      <c r="H36" s="44" t="s">
        <v>26</v>
      </c>
      <c r="I36" s="44" t="s">
        <v>27</v>
      </c>
      <c r="J36" s="44" t="s">
        <v>28</v>
      </c>
      <c r="K36" s="43">
        <v>100401</v>
      </c>
      <c r="L36" s="43" t="s">
        <v>84</v>
      </c>
      <c r="M36" s="43" t="s">
        <v>70</v>
      </c>
      <c r="N36" s="43">
        <v>0.04</v>
      </c>
      <c r="O36" s="43">
        <v>0.13</v>
      </c>
      <c r="P36" s="43">
        <v>0.04</v>
      </c>
      <c r="Q36" s="43">
        <v>0.04</v>
      </c>
      <c r="R36" s="43">
        <v>0.04</v>
      </c>
      <c r="S36" s="43">
        <v>0.08</v>
      </c>
      <c r="T36" s="43">
        <v>0</v>
      </c>
    </row>
    <row r="37" spans="1:20" ht="60">
      <c r="A37" s="43" t="s">
        <v>20</v>
      </c>
      <c r="B37" s="43" t="s">
        <v>21</v>
      </c>
      <c r="C37" s="43" t="s">
        <v>12</v>
      </c>
      <c r="D37" s="44" t="s">
        <v>22</v>
      </c>
      <c r="E37" s="44" t="s">
        <v>23</v>
      </c>
      <c r="F37" s="44" t="s">
        <v>24</v>
      </c>
      <c r="G37" s="44" t="s">
        <v>25</v>
      </c>
      <c r="H37" s="44" t="s">
        <v>26</v>
      </c>
      <c r="I37" s="44" t="s">
        <v>27</v>
      </c>
      <c r="J37" s="44" t="s">
        <v>28</v>
      </c>
      <c r="K37" s="43">
        <v>38704</v>
      </c>
      <c r="L37" s="43" t="s">
        <v>85</v>
      </c>
      <c r="M37" s="43" t="s">
        <v>70</v>
      </c>
      <c r="N37" s="43">
        <v>0.04</v>
      </c>
      <c r="O37" s="43">
        <v>0.04</v>
      </c>
      <c r="P37" s="43">
        <v>0.13</v>
      </c>
      <c r="Q37" s="43">
        <v>0.04</v>
      </c>
      <c r="R37" s="43">
        <v>0.13</v>
      </c>
      <c r="S37" s="43">
        <v>0.13</v>
      </c>
      <c r="T37" s="43">
        <v>0.08</v>
      </c>
    </row>
    <row r="38" spans="1:20" ht="60">
      <c r="A38" s="43" t="s">
        <v>20</v>
      </c>
      <c r="B38" s="43" t="s">
        <v>21</v>
      </c>
      <c r="C38" s="43" t="s">
        <v>12</v>
      </c>
      <c r="D38" s="44" t="s">
        <v>22</v>
      </c>
      <c r="E38" s="44" t="s">
        <v>23</v>
      </c>
      <c r="F38" s="44" t="s">
        <v>24</v>
      </c>
      <c r="G38" s="44" t="s">
        <v>25</v>
      </c>
      <c r="H38" s="44" t="s">
        <v>26</v>
      </c>
      <c r="I38" s="44" t="s">
        <v>27</v>
      </c>
      <c r="J38" s="44" t="s">
        <v>28</v>
      </c>
      <c r="K38" s="43">
        <v>38705</v>
      </c>
      <c r="L38" s="43" t="s">
        <v>86</v>
      </c>
      <c r="M38" s="43" t="s">
        <v>70</v>
      </c>
      <c r="N38" s="43">
        <v>0.17</v>
      </c>
      <c r="O38" s="43">
        <v>0.17</v>
      </c>
      <c r="P38" s="43">
        <v>0.04</v>
      </c>
      <c r="Q38" s="43">
        <v>0.21</v>
      </c>
      <c r="R38" s="43">
        <v>0.21</v>
      </c>
      <c r="S38" s="43">
        <v>0.17</v>
      </c>
      <c r="T38" s="43">
        <v>0.17</v>
      </c>
    </row>
    <row r="39" spans="1:20" ht="60">
      <c r="A39" s="43" t="s">
        <v>20</v>
      </c>
      <c r="B39" s="43" t="s">
        <v>21</v>
      </c>
      <c r="C39" s="43" t="s">
        <v>12</v>
      </c>
      <c r="D39" s="44" t="s">
        <v>22</v>
      </c>
      <c r="E39" s="44" t="s">
        <v>23</v>
      </c>
      <c r="F39" s="44" t="s">
        <v>24</v>
      </c>
      <c r="G39" s="44" t="s">
        <v>25</v>
      </c>
      <c r="H39" s="44" t="s">
        <v>26</v>
      </c>
      <c r="I39" s="44" t="s">
        <v>27</v>
      </c>
      <c r="J39" s="44" t="s">
        <v>28</v>
      </c>
      <c r="K39" s="43">
        <v>16521</v>
      </c>
      <c r="L39" s="43" t="s">
        <v>87</v>
      </c>
      <c r="M39" s="43" t="s">
        <v>70</v>
      </c>
      <c r="N39" s="43">
        <v>0</v>
      </c>
      <c r="O39" s="43">
        <v>0.25</v>
      </c>
      <c r="P39" s="43">
        <v>0.17</v>
      </c>
      <c r="Q39" s="43">
        <v>0.13</v>
      </c>
      <c r="R39" s="43">
        <v>0.13</v>
      </c>
      <c r="S39" s="43">
        <v>0.17</v>
      </c>
      <c r="T39" s="43">
        <v>0.21</v>
      </c>
    </row>
    <row r="40" spans="1:20" ht="60">
      <c r="A40" s="43" t="s">
        <v>20</v>
      </c>
      <c r="B40" s="43" t="s">
        <v>21</v>
      </c>
      <c r="C40" s="43" t="s">
        <v>12</v>
      </c>
      <c r="D40" s="44" t="s">
        <v>22</v>
      </c>
      <c r="E40" s="44" t="s">
        <v>23</v>
      </c>
      <c r="F40" s="44" t="s">
        <v>24</v>
      </c>
      <c r="G40" s="44" t="s">
        <v>25</v>
      </c>
      <c r="H40" s="44" t="s">
        <v>26</v>
      </c>
      <c r="I40" s="44" t="s">
        <v>27</v>
      </c>
      <c r="J40" s="44" t="s">
        <v>28</v>
      </c>
      <c r="K40" s="43">
        <v>14606</v>
      </c>
      <c r="L40" s="43" t="s">
        <v>88</v>
      </c>
      <c r="M40" s="43" t="s">
        <v>72</v>
      </c>
      <c r="N40" s="43">
        <v>0.03</v>
      </c>
      <c r="O40" s="43">
        <v>0.06</v>
      </c>
      <c r="P40" s="43">
        <v>0.03</v>
      </c>
      <c r="Q40" s="43">
        <v>0.03</v>
      </c>
      <c r="R40" s="43">
        <v>0.06</v>
      </c>
      <c r="S40" s="43">
        <v>0.06</v>
      </c>
      <c r="T40" s="43">
        <v>0.05</v>
      </c>
    </row>
    <row r="41" spans="1:20" ht="60">
      <c r="A41" s="43" t="s">
        <v>20</v>
      </c>
      <c r="B41" s="43" t="s">
        <v>21</v>
      </c>
      <c r="C41" s="43" t="s">
        <v>12</v>
      </c>
      <c r="D41" s="44" t="s">
        <v>22</v>
      </c>
      <c r="E41" s="44" t="s">
        <v>23</v>
      </c>
      <c r="F41" s="44" t="s">
        <v>24</v>
      </c>
      <c r="G41" s="44" t="s">
        <v>25</v>
      </c>
      <c r="H41" s="44" t="s">
        <v>26</v>
      </c>
      <c r="I41" s="44" t="s">
        <v>27</v>
      </c>
      <c r="J41" s="44" t="s">
        <v>28</v>
      </c>
      <c r="K41" s="43">
        <v>14603</v>
      </c>
      <c r="L41" s="43" t="s">
        <v>89</v>
      </c>
      <c r="M41" s="43" t="s">
        <v>74</v>
      </c>
      <c r="N41" s="43">
        <v>7.0000000000000007E-2</v>
      </c>
      <c r="O41" s="43">
        <v>0.17</v>
      </c>
      <c r="P41" s="43">
        <v>0.13</v>
      </c>
      <c r="Q41" s="43">
        <v>0.1</v>
      </c>
      <c r="R41" s="43">
        <v>0.03</v>
      </c>
      <c r="S41" s="43">
        <v>0.13</v>
      </c>
      <c r="T41" s="43">
        <v>7.0000000000000007E-2</v>
      </c>
    </row>
    <row r="42" spans="1:20" ht="60">
      <c r="A42" s="43" t="s">
        <v>20</v>
      </c>
      <c r="B42" s="43" t="s">
        <v>21</v>
      </c>
      <c r="C42" s="43" t="s">
        <v>12</v>
      </c>
      <c r="D42" s="44" t="s">
        <v>22</v>
      </c>
      <c r="E42" s="44" t="s">
        <v>23</v>
      </c>
      <c r="F42" s="44" t="s">
        <v>24</v>
      </c>
      <c r="G42" s="44" t="s">
        <v>25</v>
      </c>
      <c r="H42" s="44" t="s">
        <v>26</v>
      </c>
      <c r="I42" s="44" t="s">
        <v>27</v>
      </c>
      <c r="J42" s="44" t="s">
        <v>28</v>
      </c>
      <c r="K42" s="43">
        <v>14648</v>
      </c>
      <c r="L42" s="43" t="s">
        <v>90</v>
      </c>
      <c r="M42" s="43" t="s">
        <v>70</v>
      </c>
      <c r="N42" s="43">
        <v>0.08</v>
      </c>
      <c r="O42" s="43">
        <v>0.17</v>
      </c>
      <c r="P42" s="43">
        <v>0.08</v>
      </c>
      <c r="Q42" s="43">
        <v>0.13</v>
      </c>
      <c r="R42" s="43">
        <v>0.17</v>
      </c>
      <c r="S42" s="43">
        <v>0.17</v>
      </c>
      <c r="T42" s="43">
        <v>0.08</v>
      </c>
    </row>
    <row r="43" spans="1:20" ht="60">
      <c r="A43" s="43" t="s">
        <v>20</v>
      </c>
      <c r="B43" s="43" t="s">
        <v>21</v>
      </c>
      <c r="C43" s="43" t="s">
        <v>12</v>
      </c>
      <c r="D43" s="44" t="s">
        <v>22</v>
      </c>
      <c r="E43" s="44" t="s">
        <v>23</v>
      </c>
      <c r="F43" s="44" t="s">
        <v>24</v>
      </c>
      <c r="G43" s="44" t="s">
        <v>25</v>
      </c>
      <c r="H43" s="44" t="s">
        <v>26</v>
      </c>
      <c r="I43" s="44" t="s">
        <v>27</v>
      </c>
      <c r="J43" s="44" t="s">
        <v>28</v>
      </c>
      <c r="K43" s="43">
        <v>12150</v>
      </c>
      <c r="L43" s="43" t="s">
        <v>91</v>
      </c>
      <c r="M43" s="43" t="s">
        <v>74</v>
      </c>
      <c r="N43" s="43">
        <v>0.13</v>
      </c>
      <c r="O43" s="43">
        <v>7.0000000000000007E-2</v>
      </c>
      <c r="P43" s="43">
        <v>0.1</v>
      </c>
      <c r="Q43" s="43">
        <v>0.13</v>
      </c>
      <c r="R43" s="43">
        <v>7.0000000000000007E-2</v>
      </c>
      <c r="S43" s="43">
        <v>7.0000000000000007E-2</v>
      </c>
      <c r="T43" s="43">
        <v>0.1</v>
      </c>
    </row>
    <row r="44" spans="1:20" ht="60">
      <c r="A44" s="43" t="s">
        <v>20</v>
      </c>
      <c r="B44" s="43" t="s">
        <v>21</v>
      </c>
      <c r="C44" s="43" t="s">
        <v>12</v>
      </c>
      <c r="D44" s="44" t="s">
        <v>22</v>
      </c>
      <c r="E44" s="44" t="s">
        <v>23</v>
      </c>
      <c r="F44" s="44" t="s">
        <v>24</v>
      </c>
      <c r="G44" s="44" t="s">
        <v>25</v>
      </c>
      <c r="H44" s="44" t="s">
        <v>26</v>
      </c>
      <c r="I44" s="44" t="s">
        <v>27</v>
      </c>
      <c r="J44" s="44" t="s">
        <v>28</v>
      </c>
      <c r="K44" s="43">
        <v>12128</v>
      </c>
      <c r="L44" s="43" t="s">
        <v>92</v>
      </c>
      <c r="M44" s="43" t="s">
        <v>70</v>
      </c>
      <c r="N44" s="43">
        <v>0.46</v>
      </c>
      <c r="O44" s="43">
        <v>0.21</v>
      </c>
      <c r="P44" s="43">
        <v>0.54</v>
      </c>
      <c r="Q44" s="43">
        <v>0.28999999999999998</v>
      </c>
      <c r="R44" s="43">
        <v>0.46</v>
      </c>
      <c r="S44" s="43">
        <v>0.42</v>
      </c>
      <c r="T44" s="43">
        <v>0.33</v>
      </c>
    </row>
    <row r="45" spans="1:20" ht="60">
      <c r="A45" s="43" t="s">
        <v>20</v>
      </c>
      <c r="B45" s="43" t="s">
        <v>21</v>
      </c>
      <c r="C45" s="43" t="s">
        <v>12</v>
      </c>
      <c r="D45" s="44" t="s">
        <v>22</v>
      </c>
      <c r="E45" s="44" t="s">
        <v>23</v>
      </c>
      <c r="F45" s="44" t="s">
        <v>24</v>
      </c>
      <c r="G45" s="44" t="s">
        <v>25</v>
      </c>
      <c r="H45" s="44" t="s">
        <v>26</v>
      </c>
      <c r="I45" s="44" t="s">
        <v>27</v>
      </c>
      <c r="J45" s="44" t="s">
        <v>28</v>
      </c>
      <c r="K45" s="43">
        <v>16235</v>
      </c>
      <c r="L45" s="43" t="s">
        <v>93</v>
      </c>
      <c r="M45" s="43" t="s">
        <v>78</v>
      </c>
      <c r="N45" s="43">
        <v>0.23</v>
      </c>
      <c r="O45" s="43">
        <v>0.15</v>
      </c>
      <c r="P45" s="43">
        <v>0.12</v>
      </c>
      <c r="Q45" s="43">
        <v>0.2</v>
      </c>
      <c r="R45" s="43">
        <v>0.31</v>
      </c>
      <c r="S45" s="43">
        <v>0.16</v>
      </c>
      <c r="T45" s="43">
        <v>0.16</v>
      </c>
    </row>
    <row r="46" spans="1:20" ht="60">
      <c r="A46" s="43" t="s">
        <v>20</v>
      </c>
      <c r="B46" s="43" t="s">
        <v>21</v>
      </c>
      <c r="C46" s="43" t="s">
        <v>12</v>
      </c>
      <c r="D46" s="44" t="s">
        <v>22</v>
      </c>
      <c r="E46" s="44" t="s">
        <v>23</v>
      </c>
      <c r="F46" s="44" t="s">
        <v>24</v>
      </c>
      <c r="G46" s="44" t="s">
        <v>25</v>
      </c>
      <c r="H46" s="44" t="s">
        <v>26</v>
      </c>
      <c r="I46" s="44" t="s">
        <v>27</v>
      </c>
      <c r="J46" s="44" t="s">
        <v>28</v>
      </c>
      <c r="K46" s="43">
        <v>14601</v>
      </c>
      <c r="L46" s="43" t="s">
        <v>94</v>
      </c>
      <c r="M46" s="43" t="s">
        <v>74</v>
      </c>
      <c r="N46" s="43">
        <v>0.47</v>
      </c>
      <c r="O46" s="43">
        <v>0.2</v>
      </c>
      <c r="P46" s="43">
        <v>0.27</v>
      </c>
      <c r="Q46" s="43">
        <v>0.33</v>
      </c>
      <c r="R46" s="43">
        <v>0.33</v>
      </c>
      <c r="S46" s="43">
        <v>0.56999999999999995</v>
      </c>
      <c r="T46" s="43">
        <v>0.33</v>
      </c>
    </row>
    <row r="47" spans="1:20" ht="60">
      <c r="A47" s="43" t="s">
        <v>20</v>
      </c>
      <c r="B47" s="43" t="s">
        <v>21</v>
      </c>
      <c r="C47" s="43" t="s">
        <v>12</v>
      </c>
      <c r="D47" s="44" t="s">
        <v>22</v>
      </c>
      <c r="E47" s="44" t="s">
        <v>23</v>
      </c>
      <c r="F47" s="44" t="s">
        <v>24</v>
      </c>
      <c r="G47" s="44" t="s">
        <v>25</v>
      </c>
      <c r="H47" s="44" t="s">
        <v>26</v>
      </c>
      <c r="I47" s="44" t="s">
        <v>27</v>
      </c>
      <c r="J47" s="44" t="s">
        <v>28</v>
      </c>
      <c r="K47" s="43">
        <v>12151</v>
      </c>
      <c r="L47" s="43" t="s">
        <v>95</v>
      </c>
      <c r="M47" s="43" t="s">
        <v>72</v>
      </c>
      <c r="N47" s="43">
        <v>0.54</v>
      </c>
      <c r="O47" s="43">
        <v>0.37</v>
      </c>
      <c r="P47" s="43">
        <v>0.69</v>
      </c>
      <c r="Q47" s="43">
        <v>0.4</v>
      </c>
      <c r="R47" s="43">
        <v>0.67</v>
      </c>
      <c r="S47" s="43">
        <v>0.68</v>
      </c>
      <c r="T47" s="43">
        <v>0.65</v>
      </c>
    </row>
    <row r="48" spans="1:20" ht="60">
      <c r="A48" s="43" t="s">
        <v>20</v>
      </c>
      <c r="B48" s="43" t="s">
        <v>21</v>
      </c>
      <c r="C48" s="43" t="s">
        <v>12</v>
      </c>
      <c r="D48" s="44" t="s">
        <v>22</v>
      </c>
      <c r="E48" s="44" t="s">
        <v>23</v>
      </c>
      <c r="F48" s="44" t="s">
        <v>24</v>
      </c>
      <c r="G48" s="44" t="s">
        <v>25</v>
      </c>
      <c r="H48" s="44" t="s">
        <v>26</v>
      </c>
      <c r="I48" s="44" t="s">
        <v>27</v>
      </c>
      <c r="J48" s="44" t="s">
        <v>28</v>
      </c>
      <c r="K48" s="43">
        <v>100403</v>
      </c>
      <c r="L48" s="43" t="s">
        <v>96</v>
      </c>
      <c r="M48" s="43" t="s">
        <v>70</v>
      </c>
      <c r="N48" s="43">
        <v>0.04</v>
      </c>
      <c r="O48" s="43">
        <v>0.13</v>
      </c>
      <c r="P48" s="43">
        <v>0.04</v>
      </c>
      <c r="Q48" s="43">
        <v>0.08</v>
      </c>
      <c r="R48" s="43">
        <v>0.08</v>
      </c>
      <c r="S48" s="43">
        <v>0</v>
      </c>
      <c r="T48" s="43">
        <v>0.04</v>
      </c>
    </row>
    <row r="49" spans="1:20" ht="60">
      <c r="A49" s="43" t="s">
        <v>20</v>
      </c>
      <c r="B49" s="43" t="s">
        <v>21</v>
      </c>
      <c r="C49" s="43" t="s">
        <v>12</v>
      </c>
      <c r="D49" s="44" t="s">
        <v>22</v>
      </c>
      <c r="E49" s="44" t="s">
        <v>23</v>
      </c>
      <c r="F49" s="44" t="s">
        <v>24</v>
      </c>
      <c r="G49" s="44" t="s">
        <v>25</v>
      </c>
      <c r="H49" s="44" t="s">
        <v>26</v>
      </c>
      <c r="I49" s="44" t="s">
        <v>27</v>
      </c>
      <c r="J49" s="44" t="s">
        <v>28</v>
      </c>
      <c r="K49" s="43">
        <v>100404</v>
      </c>
      <c r="L49" s="43" t="s">
        <v>97</v>
      </c>
      <c r="M49" s="43" t="s">
        <v>70</v>
      </c>
      <c r="N49" s="43">
        <v>0</v>
      </c>
      <c r="O49" s="43">
        <v>0.04</v>
      </c>
      <c r="P49" s="43">
        <v>0.04</v>
      </c>
      <c r="Q49" s="43">
        <v>0.04</v>
      </c>
      <c r="R49" s="43">
        <v>0.04</v>
      </c>
      <c r="S49" s="43">
        <v>0</v>
      </c>
      <c r="T49" s="43">
        <v>0.04</v>
      </c>
    </row>
    <row r="50" spans="1:20" ht="60">
      <c r="A50" s="43" t="s">
        <v>20</v>
      </c>
      <c r="B50" s="43" t="s">
        <v>21</v>
      </c>
      <c r="C50" s="43" t="s">
        <v>12</v>
      </c>
      <c r="D50" s="44" t="s">
        <v>22</v>
      </c>
      <c r="E50" s="44" t="s">
        <v>23</v>
      </c>
      <c r="F50" s="44" t="s">
        <v>24</v>
      </c>
      <c r="G50" s="44" t="s">
        <v>25</v>
      </c>
      <c r="H50" s="44" t="s">
        <v>26</v>
      </c>
      <c r="I50" s="44" t="s">
        <v>27</v>
      </c>
      <c r="J50" s="44" t="s">
        <v>28</v>
      </c>
      <c r="K50" s="43">
        <v>100405</v>
      </c>
      <c r="L50" s="43" t="s">
        <v>98</v>
      </c>
      <c r="M50" s="43" t="s">
        <v>99</v>
      </c>
      <c r="N50" s="43">
        <v>0.33</v>
      </c>
      <c r="O50" s="43">
        <v>0</v>
      </c>
      <c r="P50" s="43">
        <v>0</v>
      </c>
      <c r="Q50" s="43">
        <v>0.08</v>
      </c>
      <c r="R50" s="43">
        <v>0.17</v>
      </c>
      <c r="S50" s="43">
        <v>0</v>
      </c>
      <c r="T50" s="43">
        <v>0.08</v>
      </c>
    </row>
    <row r="51" spans="1:20" ht="60">
      <c r="A51" s="43" t="s">
        <v>20</v>
      </c>
      <c r="B51" s="43" t="s">
        <v>21</v>
      </c>
      <c r="C51" s="43" t="s">
        <v>12</v>
      </c>
      <c r="D51" s="44" t="s">
        <v>22</v>
      </c>
      <c r="E51" s="44" t="s">
        <v>23</v>
      </c>
      <c r="F51" s="44" t="s">
        <v>24</v>
      </c>
      <c r="G51" s="44" t="s">
        <v>25</v>
      </c>
      <c r="H51" s="44" t="s">
        <v>26</v>
      </c>
      <c r="I51" s="44" t="s">
        <v>27</v>
      </c>
      <c r="J51" s="44" t="s">
        <v>28</v>
      </c>
      <c r="K51" s="43">
        <v>15735</v>
      </c>
      <c r="L51" s="43" t="s">
        <v>100</v>
      </c>
      <c r="M51" s="43" t="s">
        <v>74</v>
      </c>
      <c r="N51" s="43">
        <v>7.0000000000000007E-2</v>
      </c>
      <c r="O51" s="43">
        <v>0.2</v>
      </c>
      <c r="P51" s="43">
        <v>7.0000000000000007E-2</v>
      </c>
      <c r="Q51" s="43">
        <v>0.13</v>
      </c>
      <c r="R51" s="43">
        <v>7.0000000000000007E-2</v>
      </c>
      <c r="S51" s="43">
        <v>0.13</v>
      </c>
      <c r="T51" s="43">
        <v>0.13</v>
      </c>
    </row>
    <row r="52" spans="1:20" ht="60">
      <c r="A52" s="43" t="s">
        <v>20</v>
      </c>
      <c r="B52" s="43" t="s">
        <v>21</v>
      </c>
      <c r="C52" s="43" t="s">
        <v>12</v>
      </c>
      <c r="D52" s="44" t="s">
        <v>22</v>
      </c>
      <c r="E52" s="44" t="s">
        <v>23</v>
      </c>
      <c r="F52" s="44" t="s">
        <v>24</v>
      </c>
      <c r="G52" s="44" t="s">
        <v>25</v>
      </c>
      <c r="H52" s="44" t="s">
        <v>26</v>
      </c>
      <c r="I52" s="44" t="s">
        <v>27</v>
      </c>
      <c r="J52" s="44" t="s">
        <v>28</v>
      </c>
      <c r="K52" s="43">
        <v>16522</v>
      </c>
      <c r="L52" s="43" t="s">
        <v>101</v>
      </c>
      <c r="M52" s="43" t="s">
        <v>70</v>
      </c>
      <c r="N52" s="43">
        <v>0.04</v>
      </c>
      <c r="O52" s="43">
        <v>0.17</v>
      </c>
      <c r="P52" s="43">
        <v>0.17</v>
      </c>
      <c r="Q52" s="43">
        <v>0.13</v>
      </c>
      <c r="R52" s="43">
        <v>0.08</v>
      </c>
      <c r="S52" s="43">
        <v>0</v>
      </c>
      <c r="T52" s="43">
        <v>0</v>
      </c>
    </row>
    <row r="53" spans="1:20" ht="60">
      <c r="A53" s="43" t="s">
        <v>20</v>
      </c>
      <c r="B53" s="43" t="s">
        <v>21</v>
      </c>
      <c r="C53" s="43" t="s">
        <v>12</v>
      </c>
      <c r="D53" s="44" t="s">
        <v>22</v>
      </c>
      <c r="E53" s="44" t="s">
        <v>23</v>
      </c>
      <c r="F53" s="44" t="s">
        <v>24</v>
      </c>
      <c r="G53" s="44" t="s">
        <v>25</v>
      </c>
      <c r="H53" s="44" t="s">
        <v>26</v>
      </c>
      <c r="I53" s="44" t="s">
        <v>27</v>
      </c>
      <c r="J53" s="44" t="s">
        <v>28</v>
      </c>
      <c r="K53" s="43">
        <v>16525</v>
      </c>
      <c r="L53" s="43" t="s">
        <v>102</v>
      </c>
      <c r="M53" s="43" t="s">
        <v>72</v>
      </c>
      <c r="N53" s="43">
        <v>0.04</v>
      </c>
      <c r="O53" s="43">
        <v>0.05</v>
      </c>
      <c r="P53" s="43">
        <v>0.03</v>
      </c>
      <c r="Q53" s="43">
        <v>0.06</v>
      </c>
      <c r="R53" s="43">
        <v>0.06</v>
      </c>
      <c r="S53" s="43">
        <v>0.05</v>
      </c>
      <c r="T53" s="43">
        <v>0.03</v>
      </c>
    </row>
    <row r="54" spans="1:20" ht="60">
      <c r="A54" s="43" t="s">
        <v>20</v>
      </c>
      <c r="B54" s="43" t="s">
        <v>21</v>
      </c>
      <c r="C54" s="43" t="s">
        <v>12</v>
      </c>
      <c r="D54" s="44" t="s">
        <v>22</v>
      </c>
      <c r="E54" s="44" t="s">
        <v>23</v>
      </c>
      <c r="F54" s="44" t="s">
        <v>24</v>
      </c>
      <c r="G54" s="44" t="s">
        <v>25</v>
      </c>
      <c r="H54" s="44" t="s">
        <v>26</v>
      </c>
      <c r="I54" s="44" t="s">
        <v>27</v>
      </c>
      <c r="J54" s="44" t="s">
        <v>28</v>
      </c>
      <c r="K54" s="43">
        <v>16523</v>
      </c>
      <c r="L54" s="43" t="s">
        <v>103</v>
      </c>
      <c r="M54" s="43" t="s">
        <v>70</v>
      </c>
      <c r="N54" s="43">
        <v>0</v>
      </c>
      <c r="O54" s="43">
        <v>0.08</v>
      </c>
      <c r="P54" s="43">
        <v>0</v>
      </c>
      <c r="Q54" s="43">
        <v>0.04</v>
      </c>
      <c r="R54" s="43">
        <v>0.13</v>
      </c>
      <c r="S54" s="43">
        <v>0.08</v>
      </c>
      <c r="T54" s="43">
        <v>0</v>
      </c>
    </row>
    <row r="55" spans="1:20" ht="60">
      <c r="A55" s="43" t="s">
        <v>20</v>
      </c>
      <c r="B55" s="43" t="s">
        <v>21</v>
      </c>
      <c r="C55" s="43" t="s">
        <v>12</v>
      </c>
      <c r="D55" s="44" t="s">
        <v>22</v>
      </c>
      <c r="E55" s="44" t="s">
        <v>23</v>
      </c>
      <c r="F55" s="44" t="s">
        <v>24</v>
      </c>
      <c r="G55" s="44" t="s">
        <v>25</v>
      </c>
      <c r="H55" s="44" t="s">
        <v>26</v>
      </c>
      <c r="I55" s="44" t="s">
        <v>27</v>
      </c>
      <c r="J55" s="44" t="s">
        <v>28</v>
      </c>
      <c r="K55" s="43">
        <v>16524</v>
      </c>
      <c r="L55" s="43" t="s">
        <v>104</v>
      </c>
      <c r="M55" s="43" t="s">
        <v>72</v>
      </c>
      <c r="N55" s="43">
        <v>0.01</v>
      </c>
      <c r="O55" s="43">
        <v>0.02</v>
      </c>
      <c r="P55" s="43">
        <v>0.01</v>
      </c>
      <c r="Q55" s="43">
        <v>0.03</v>
      </c>
      <c r="R55" s="43">
        <v>0.04</v>
      </c>
      <c r="S55" s="43">
        <v>0.05</v>
      </c>
      <c r="T55" s="43">
        <v>0.03</v>
      </c>
    </row>
    <row r="56" spans="1:20" ht="60">
      <c r="A56" s="43" t="s">
        <v>20</v>
      </c>
      <c r="B56" s="43" t="s">
        <v>21</v>
      </c>
      <c r="C56" s="43" t="s">
        <v>12</v>
      </c>
      <c r="D56" s="44" t="s">
        <v>22</v>
      </c>
      <c r="E56" s="44" t="s">
        <v>23</v>
      </c>
      <c r="F56" s="44" t="s">
        <v>24</v>
      </c>
      <c r="G56" s="44" t="s">
        <v>25</v>
      </c>
      <c r="H56" s="44" t="s">
        <v>26</v>
      </c>
      <c r="I56" s="44" t="s">
        <v>27</v>
      </c>
      <c r="J56" s="44" t="s">
        <v>28</v>
      </c>
      <c r="K56" s="43">
        <v>15733</v>
      </c>
      <c r="L56" s="43" t="s">
        <v>105</v>
      </c>
      <c r="M56" s="43" t="s">
        <v>70</v>
      </c>
      <c r="N56" s="43">
        <v>0</v>
      </c>
      <c r="O56" s="43">
        <v>0.17</v>
      </c>
      <c r="P56" s="43">
        <v>0.08</v>
      </c>
      <c r="Q56" s="43">
        <v>0.13</v>
      </c>
      <c r="R56" s="43">
        <v>0.21</v>
      </c>
      <c r="S56" s="43">
        <v>0.08</v>
      </c>
      <c r="T56" s="43">
        <v>0.04</v>
      </c>
    </row>
    <row r="57" spans="1:20" ht="60">
      <c r="A57" s="43" t="s">
        <v>20</v>
      </c>
      <c r="B57" s="43" t="s">
        <v>21</v>
      </c>
      <c r="C57" s="43" t="s">
        <v>12</v>
      </c>
      <c r="D57" s="44" t="s">
        <v>22</v>
      </c>
      <c r="E57" s="44" t="s">
        <v>23</v>
      </c>
      <c r="F57" s="44" t="s">
        <v>24</v>
      </c>
      <c r="G57" s="44" t="s">
        <v>25</v>
      </c>
      <c r="H57" s="44" t="s">
        <v>26</v>
      </c>
      <c r="I57" s="44" t="s">
        <v>27</v>
      </c>
      <c r="J57" s="44" t="s">
        <v>28</v>
      </c>
      <c r="K57" s="43">
        <v>13839</v>
      </c>
      <c r="L57" s="43" t="s">
        <v>106</v>
      </c>
      <c r="M57" s="43" t="s">
        <v>70</v>
      </c>
      <c r="N57" s="43">
        <v>0.21</v>
      </c>
      <c r="O57" s="43">
        <v>0.28999999999999998</v>
      </c>
      <c r="P57" s="43">
        <v>0.13</v>
      </c>
      <c r="Q57" s="43">
        <v>0.42</v>
      </c>
      <c r="R57" s="43">
        <v>0.28999999999999998</v>
      </c>
      <c r="S57" s="43">
        <v>0.25</v>
      </c>
      <c r="T57" s="43">
        <v>0.33</v>
      </c>
    </row>
    <row r="58" spans="1:20" ht="60">
      <c r="A58" s="43" t="s">
        <v>20</v>
      </c>
      <c r="B58" s="43" t="s">
        <v>21</v>
      </c>
      <c r="C58" s="43" t="s">
        <v>12</v>
      </c>
      <c r="D58" s="44" t="s">
        <v>22</v>
      </c>
      <c r="E58" s="44" t="s">
        <v>23</v>
      </c>
      <c r="F58" s="44" t="s">
        <v>24</v>
      </c>
      <c r="G58" s="44" t="s">
        <v>25</v>
      </c>
      <c r="H58" s="44" t="s">
        <v>26</v>
      </c>
      <c r="I58" s="44" t="s">
        <v>27</v>
      </c>
      <c r="J58" s="44" t="s">
        <v>28</v>
      </c>
      <c r="K58" s="43">
        <v>100402</v>
      </c>
      <c r="L58" s="43" t="s">
        <v>107</v>
      </c>
      <c r="M58" s="43" t="s">
        <v>70</v>
      </c>
      <c r="N58" s="43">
        <v>0.04</v>
      </c>
      <c r="O58" s="43">
        <v>0</v>
      </c>
      <c r="P58" s="43">
        <v>0.04</v>
      </c>
      <c r="Q58" s="43">
        <v>0.08</v>
      </c>
      <c r="R58" s="43">
        <v>0.08</v>
      </c>
      <c r="S58" s="43">
        <v>0</v>
      </c>
      <c r="T58" s="43">
        <v>0</v>
      </c>
    </row>
    <row r="59" spans="1:20" ht="60">
      <c r="A59" s="43" t="s">
        <v>20</v>
      </c>
      <c r="B59" s="43" t="s">
        <v>21</v>
      </c>
      <c r="C59" s="43" t="s">
        <v>12</v>
      </c>
      <c r="D59" s="44" t="s">
        <v>22</v>
      </c>
      <c r="E59" s="44" t="s">
        <v>23</v>
      </c>
      <c r="F59" s="44" t="s">
        <v>24</v>
      </c>
      <c r="G59" s="44" t="s">
        <v>25</v>
      </c>
      <c r="H59" s="44" t="s">
        <v>26</v>
      </c>
      <c r="I59" s="44" t="s">
        <v>27</v>
      </c>
      <c r="J59" s="44" t="s">
        <v>28</v>
      </c>
      <c r="K59" s="43">
        <v>37895</v>
      </c>
      <c r="L59" s="43" t="s">
        <v>108</v>
      </c>
      <c r="M59" s="43" t="s">
        <v>109</v>
      </c>
      <c r="N59" s="43">
        <v>0.52</v>
      </c>
      <c r="O59" s="43">
        <v>0.64</v>
      </c>
      <c r="P59" s="43">
        <v>0.67</v>
      </c>
      <c r="Q59" s="43">
        <v>0.69</v>
      </c>
      <c r="R59" s="43">
        <v>0.81</v>
      </c>
      <c r="S59" s="43">
        <v>0.8</v>
      </c>
      <c r="T59" s="43">
        <v>0.55000000000000004</v>
      </c>
    </row>
    <row r="60" spans="1:20" ht="60">
      <c r="A60" s="43" t="s">
        <v>20</v>
      </c>
      <c r="B60" s="43" t="s">
        <v>21</v>
      </c>
      <c r="C60" s="43" t="s">
        <v>12</v>
      </c>
      <c r="D60" s="44" t="s">
        <v>22</v>
      </c>
      <c r="E60" s="44" t="s">
        <v>23</v>
      </c>
      <c r="F60" s="44" t="s">
        <v>24</v>
      </c>
      <c r="G60" s="44" t="s">
        <v>25</v>
      </c>
      <c r="H60" s="44" t="s">
        <v>26</v>
      </c>
      <c r="I60" s="44" t="s">
        <v>27</v>
      </c>
      <c r="J60" s="44" t="s">
        <v>28</v>
      </c>
      <c r="K60" s="43">
        <v>15049</v>
      </c>
      <c r="L60" s="43" t="s">
        <v>110</v>
      </c>
      <c r="M60" s="43" t="s">
        <v>51</v>
      </c>
      <c r="N60" s="43">
        <v>4.05</v>
      </c>
      <c r="O60" s="43">
        <v>4.1100000000000003</v>
      </c>
      <c r="P60" s="43">
        <v>4.8499999999999996</v>
      </c>
      <c r="Q60" s="43">
        <v>4.76</v>
      </c>
      <c r="R60" s="43">
        <v>6.22</v>
      </c>
      <c r="S60" s="43">
        <v>5.47</v>
      </c>
      <c r="T60" s="43">
        <v>4.9800000000000004</v>
      </c>
    </row>
    <row r="61" spans="1:20" ht="60">
      <c r="A61" s="43" t="s">
        <v>20</v>
      </c>
      <c r="B61" s="43" t="s">
        <v>21</v>
      </c>
      <c r="C61" s="43" t="s">
        <v>12</v>
      </c>
      <c r="D61" s="44" t="s">
        <v>22</v>
      </c>
      <c r="E61" s="44" t="s">
        <v>23</v>
      </c>
      <c r="F61" s="44" t="s">
        <v>24</v>
      </c>
      <c r="G61" s="44" t="s">
        <v>25</v>
      </c>
      <c r="H61" s="44" t="s">
        <v>26</v>
      </c>
      <c r="I61" s="44" t="s">
        <v>27</v>
      </c>
      <c r="J61" s="44" t="s">
        <v>28</v>
      </c>
      <c r="K61" s="43">
        <v>14791</v>
      </c>
      <c r="L61" s="43" t="s">
        <v>111</v>
      </c>
      <c r="M61" s="43" t="s">
        <v>112</v>
      </c>
      <c r="N61" s="43">
        <v>0.19</v>
      </c>
      <c r="O61" s="43">
        <v>0.22</v>
      </c>
      <c r="P61" s="43">
        <v>0.28999999999999998</v>
      </c>
      <c r="Q61" s="43">
        <v>0.35</v>
      </c>
      <c r="R61" s="43">
        <v>0.36</v>
      </c>
      <c r="S61" s="43">
        <v>0.37</v>
      </c>
      <c r="T61" s="43">
        <v>0.25</v>
      </c>
    </row>
    <row r="62" spans="1:20" ht="60">
      <c r="A62" s="43" t="s">
        <v>20</v>
      </c>
      <c r="B62" s="43" t="s">
        <v>21</v>
      </c>
      <c r="C62" s="43" t="s">
        <v>12</v>
      </c>
      <c r="D62" s="44" t="s">
        <v>22</v>
      </c>
      <c r="E62" s="44" t="s">
        <v>23</v>
      </c>
      <c r="F62" s="44" t="s">
        <v>24</v>
      </c>
      <c r="G62" s="44" t="s">
        <v>25</v>
      </c>
      <c r="H62" s="44" t="s">
        <v>26</v>
      </c>
      <c r="I62" s="44" t="s">
        <v>27</v>
      </c>
      <c r="J62" s="44" t="s">
        <v>28</v>
      </c>
      <c r="K62" s="43">
        <v>20295</v>
      </c>
      <c r="L62" s="43" t="s">
        <v>113</v>
      </c>
      <c r="M62" s="43" t="s">
        <v>114</v>
      </c>
      <c r="N62" s="43">
        <v>0.01</v>
      </c>
      <c r="O62" s="43">
        <v>0.01</v>
      </c>
      <c r="P62" s="43">
        <v>0</v>
      </c>
      <c r="Q62" s="43">
        <v>0.01</v>
      </c>
      <c r="R62" s="43">
        <v>0.02</v>
      </c>
      <c r="S62" s="43">
        <v>0</v>
      </c>
      <c r="T62" s="43">
        <v>0</v>
      </c>
    </row>
    <row r="63" spans="1:20" ht="60">
      <c r="A63" s="43" t="s">
        <v>20</v>
      </c>
      <c r="B63" s="43" t="s">
        <v>21</v>
      </c>
      <c r="C63" s="43" t="s">
        <v>12</v>
      </c>
      <c r="D63" s="44" t="s">
        <v>22</v>
      </c>
      <c r="E63" s="44" t="s">
        <v>23</v>
      </c>
      <c r="F63" s="44" t="s">
        <v>24</v>
      </c>
      <c r="G63" s="44" t="s">
        <v>25</v>
      </c>
      <c r="H63" s="44" t="s">
        <v>26</v>
      </c>
      <c r="I63" s="44" t="s">
        <v>27</v>
      </c>
      <c r="J63" s="44" t="s">
        <v>28</v>
      </c>
      <c r="K63" s="43">
        <v>39391</v>
      </c>
      <c r="L63" s="43" t="s">
        <v>115</v>
      </c>
      <c r="M63" s="43"/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</row>
    <row r="64" spans="1:20" ht="60">
      <c r="A64" s="43" t="s">
        <v>20</v>
      </c>
      <c r="B64" s="43" t="s">
        <v>21</v>
      </c>
      <c r="C64" s="43" t="s">
        <v>12</v>
      </c>
      <c r="D64" s="44" t="s">
        <v>22</v>
      </c>
      <c r="E64" s="44" t="s">
        <v>23</v>
      </c>
      <c r="F64" s="44" t="s">
        <v>24</v>
      </c>
      <c r="G64" s="44" t="s">
        <v>25</v>
      </c>
      <c r="H64" s="44" t="s">
        <v>26</v>
      </c>
      <c r="I64" s="44" t="s">
        <v>27</v>
      </c>
      <c r="J64" s="44" t="s">
        <v>28</v>
      </c>
      <c r="K64" s="43">
        <v>38701</v>
      </c>
      <c r="L64" s="43" t="s">
        <v>116</v>
      </c>
      <c r="M64" s="43" t="s">
        <v>117</v>
      </c>
      <c r="N64" s="43">
        <v>0.18</v>
      </c>
      <c r="O64" s="43">
        <v>0.12</v>
      </c>
      <c r="P64" s="43">
        <v>0.18</v>
      </c>
      <c r="Q64" s="43">
        <v>0.11</v>
      </c>
      <c r="R64" s="43">
        <v>0.22</v>
      </c>
      <c r="S64" s="43">
        <v>0.15</v>
      </c>
      <c r="T64" s="43">
        <v>0.17</v>
      </c>
    </row>
    <row r="65" spans="1:20" ht="60">
      <c r="A65" s="43" t="s">
        <v>20</v>
      </c>
      <c r="B65" s="43" t="s">
        <v>21</v>
      </c>
      <c r="C65" s="43" t="s">
        <v>12</v>
      </c>
      <c r="D65" s="44" t="s">
        <v>22</v>
      </c>
      <c r="E65" s="44" t="s">
        <v>23</v>
      </c>
      <c r="F65" s="44" t="s">
        <v>24</v>
      </c>
      <c r="G65" s="44" t="s">
        <v>25</v>
      </c>
      <c r="H65" s="44" t="s">
        <v>26</v>
      </c>
      <c r="I65" s="44" t="s">
        <v>27</v>
      </c>
      <c r="J65" s="44" t="s">
        <v>28</v>
      </c>
      <c r="K65" s="43">
        <v>13016</v>
      </c>
      <c r="L65" s="43" t="s">
        <v>118</v>
      </c>
      <c r="M65" s="43" t="s">
        <v>119</v>
      </c>
      <c r="N65" s="43">
        <v>0.8</v>
      </c>
      <c r="O65" s="43">
        <v>0.81</v>
      </c>
      <c r="P65" s="43">
        <v>0.92</v>
      </c>
      <c r="Q65" s="43">
        <v>0.88</v>
      </c>
      <c r="R65" s="43">
        <v>1.18</v>
      </c>
      <c r="S65" s="43">
        <v>1.03</v>
      </c>
      <c r="T65" s="43">
        <v>1.02</v>
      </c>
    </row>
    <row r="66" spans="1:20" ht="60">
      <c r="A66" s="43" t="s">
        <v>20</v>
      </c>
      <c r="B66" s="43" t="s">
        <v>21</v>
      </c>
      <c r="C66" s="43" t="s">
        <v>12</v>
      </c>
      <c r="D66" s="44" t="s">
        <v>22</v>
      </c>
      <c r="E66" s="44" t="s">
        <v>23</v>
      </c>
      <c r="F66" s="44" t="s">
        <v>24</v>
      </c>
      <c r="G66" s="44" t="s">
        <v>25</v>
      </c>
      <c r="H66" s="44" t="s">
        <v>26</v>
      </c>
      <c r="I66" s="44" t="s">
        <v>27</v>
      </c>
      <c r="J66" s="44" t="s">
        <v>28</v>
      </c>
      <c r="K66" s="43">
        <v>39746</v>
      </c>
      <c r="L66" s="43" t="s">
        <v>120</v>
      </c>
      <c r="M66" s="43" t="s">
        <v>30</v>
      </c>
      <c r="N66" s="43">
        <v>0.13</v>
      </c>
      <c r="O66" s="43">
        <v>0.14000000000000001</v>
      </c>
      <c r="P66" s="43">
        <v>0.19</v>
      </c>
      <c r="Q66" s="43">
        <v>0.17</v>
      </c>
      <c r="R66" s="43">
        <v>0.19</v>
      </c>
      <c r="S66" s="43">
        <v>0.17</v>
      </c>
      <c r="T66" s="43">
        <v>0.2</v>
      </c>
    </row>
    <row r="67" spans="1:20" ht="60">
      <c r="A67" s="43" t="s">
        <v>20</v>
      </c>
      <c r="B67" s="43" t="s">
        <v>21</v>
      </c>
      <c r="C67" s="43" t="s">
        <v>12</v>
      </c>
      <c r="D67" s="44" t="s">
        <v>22</v>
      </c>
      <c r="E67" s="44" t="s">
        <v>23</v>
      </c>
      <c r="F67" s="44" t="s">
        <v>24</v>
      </c>
      <c r="G67" s="44" t="s">
        <v>25</v>
      </c>
      <c r="H67" s="44" t="s">
        <v>26</v>
      </c>
      <c r="I67" s="44" t="s">
        <v>27</v>
      </c>
      <c r="J67" s="44" t="s">
        <v>28</v>
      </c>
      <c r="K67" s="43">
        <v>37380</v>
      </c>
      <c r="L67" s="43" t="s">
        <v>121</v>
      </c>
      <c r="M67" s="43" t="s">
        <v>30</v>
      </c>
      <c r="N67" s="43">
        <v>0.01</v>
      </c>
      <c r="O67" s="43">
        <v>0.01</v>
      </c>
      <c r="P67" s="43">
        <v>0.01</v>
      </c>
      <c r="Q67" s="43">
        <v>0.01</v>
      </c>
      <c r="R67" s="43">
        <v>0.01</v>
      </c>
      <c r="S67" s="43">
        <v>0.01</v>
      </c>
      <c r="T67" s="43">
        <v>0.01</v>
      </c>
    </row>
    <row r="68" spans="1:20" ht="60">
      <c r="A68" s="43" t="s">
        <v>20</v>
      </c>
      <c r="B68" s="43" t="s">
        <v>21</v>
      </c>
      <c r="C68" s="43" t="s">
        <v>12</v>
      </c>
      <c r="D68" s="44" t="s">
        <v>22</v>
      </c>
      <c r="E68" s="44" t="s">
        <v>23</v>
      </c>
      <c r="F68" s="44" t="s">
        <v>24</v>
      </c>
      <c r="G68" s="44" t="s">
        <v>25</v>
      </c>
      <c r="H68" s="44" t="s">
        <v>26</v>
      </c>
      <c r="I68" s="44" t="s">
        <v>27</v>
      </c>
      <c r="J68" s="44" t="s">
        <v>28</v>
      </c>
      <c r="K68" s="43">
        <v>13735</v>
      </c>
      <c r="L68" s="43" t="s">
        <v>122</v>
      </c>
      <c r="M68" s="43" t="s">
        <v>30</v>
      </c>
      <c r="N68" s="43">
        <v>0.16</v>
      </c>
      <c r="O68" s="43">
        <v>0.13</v>
      </c>
      <c r="P68" s="43">
        <v>0.19</v>
      </c>
      <c r="Q68" s="43">
        <v>0.14000000000000001</v>
      </c>
      <c r="R68" s="43">
        <v>0.22</v>
      </c>
      <c r="S68" s="43">
        <v>0.2</v>
      </c>
      <c r="T68" s="43">
        <v>0.2</v>
      </c>
    </row>
    <row r="69" spans="1:20" ht="60">
      <c r="A69" s="43" t="s">
        <v>20</v>
      </c>
      <c r="B69" s="43" t="s">
        <v>21</v>
      </c>
      <c r="C69" s="43" t="s">
        <v>12</v>
      </c>
      <c r="D69" s="44" t="s">
        <v>22</v>
      </c>
      <c r="E69" s="44" t="s">
        <v>23</v>
      </c>
      <c r="F69" s="44" t="s">
        <v>24</v>
      </c>
      <c r="G69" s="44" t="s">
        <v>25</v>
      </c>
      <c r="H69" s="44" t="s">
        <v>26</v>
      </c>
      <c r="I69" s="44" t="s">
        <v>27</v>
      </c>
      <c r="J69" s="44" t="s">
        <v>28</v>
      </c>
      <c r="K69" s="43">
        <v>39520</v>
      </c>
      <c r="L69" s="43" t="s">
        <v>123</v>
      </c>
      <c r="M69" s="43" t="s">
        <v>124</v>
      </c>
      <c r="N69" s="43">
        <v>1.32</v>
      </c>
      <c r="O69" s="43">
        <v>1.42</v>
      </c>
      <c r="P69" s="43">
        <v>1.71</v>
      </c>
      <c r="Q69" s="43">
        <v>1.58</v>
      </c>
      <c r="R69" s="43">
        <v>1.98</v>
      </c>
      <c r="S69" s="43">
        <v>1.99</v>
      </c>
      <c r="T69" s="43">
        <v>1.69</v>
      </c>
    </row>
    <row r="70" spans="1:20" ht="60">
      <c r="A70" s="43" t="s">
        <v>20</v>
      </c>
      <c r="B70" s="43" t="s">
        <v>21</v>
      </c>
      <c r="C70" s="43" t="s">
        <v>12</v>
      </c>
      <c r="D70" s="44" t="s">
        <v>22</v>
      </c>
      <c r="E70" s="44" t="s">
        <v>23</v>
      </c>
      <c r="F70" s="44" t="s">
        <v>24</v>
      </c>
      <c r="G70" s="44" t="s">
        <v>25</v>
      </c>
      <c r="H70" s="44" t="s">
        <v>26</v>
      </c>
      <c r="I70" s="44" t="s">
        <v>27</v>
      </c>
      <c r="J70" s="44" t="s">
        <v>28</v>
      </c>
      <c r="K70" s="43">
        <v>39139</v>
      </c>
      <c r="L70" s="43" t="s">
        <v>125</v>
      </c>
      <c r="M70" s="43" t="s">
        <v>126</v>
      </c>
      <c r="N70" s="43">
        <v>1.64</v>
      </c>
      <c r="O70" s="43">
        <v>1.24</v>
      </c>
      <c r="P70" s="43">
        <v>1.65</v>
      </c>
      <c r="Q70" s="43">
        <v>1.58</v>
      </c>
      <c r="R70" s="43">
        <v>2.5</v>
      </c>
      <c r="S70" s="43">
        <v>1.74</v>
      </c>
      <c r="T70" s="43">
        <v>1.8</v>
      </c>
    </row>
    <row r="71" spans="1:20" ht="60">
      <c r="A71" s="43" t="s">
        <v>20</v>
      </c>
      <c r="B71" s="43" t="s">
        <v>21</v>
      </c>
      <c r="C71" s="43" t="s">
        <v>12</v>
      </c>
      <c r="D71" s="44" t="s">
        <v>22</v>
      </c>
      <c r="E71" s="44" t="s">
        <v>23</v>
      </c>
      <c r="F71" s="44" t="s">
        <v>24</v>
      </c>
      <c r="G71" s="44" t="s">
        <v>25</v>
      </c>
      <c r="H71" s="44" t="s">
        <v>26</v>
      </c>
      <c r="I71" s="44" t="s">
        <v>27</v>
      </c>
      <c r="J71" s="44" t="s">
        <v>28</v>
      </c>
      <c r="K71" s="43">
        <v>36549</v>
      </c>
      <c r="L71" s="43" t="s">
        <v>127</v>
      </c>
      <c r="M71" s="43" t="s">
        <v>128</v>
      </c>
      <c r="N71" s="43">
        <v>0.1</v>
      </c>
      <c r="O71" s="43">
        <v>0.11</v>
      </c>
      <c r="P71" s="43">
        <v>0.13</v>
      </c>
      <c r="Q71" s="43">
        <v>0.12</v>
      </c>
      <c r="R71" s="43">
        <v>0.16</v>
      </c>
      <c r="S71" s="43">
        <v>0.14000000000000001</v>
      </c>
      <c r="T71" s="43">
        <v>0.14000000000000001</v>
      </c>
    </row>
    <row r="72" spans="1:20" ht="60">
      <c r="A72" s="43" t="s">
        <v>20</v>
      </c>
      <c r="B72" s="43" t="s">
        <v>21</v>
      </c>
      <c r="C72" s="43" t="s">
        <v>12</v>
      </c>
      <c r="D72" s="44" t="s">
        <v>22</v>
      </c>
      <c r="E72" s="44" t="s">
        <v>23</v>
      </c>
      <c r="F72" s="44" t="s">
        <v>24</v>
      </c>
      <c r="G72" s="44" t="s">
        <v>25</v>
      </c>
      <c r="H72" s="44" t="s">
        <v>26</v>
      </c>
      <c r="I72" s="44" t="s">
        <v>27</v>
      </c>
      <c r="J72" s="44" t="s">
        <v>28</v>
      </c>
      <c r="K72" s="43">
        <v>33312</v>
      </c>
      <c r="L72" s="43" t="s">
        <v>129</v>
      </c>
      <c r="M72" s="43" t="s">
        <v>130</v>
      </c>
      <c r="N72" s="43">
        <v>0.51</v>
      </c>
      <c r="O72" s="43">
        <v>0.51</v>
      </c>
      <c r="P72" s="43">
        <v>0.57999999999999996</v>
      </c>
      <c r="Q72" s="43">
        <v>0.54</v>
      </c>
      <c r="R72" s="43">
        <v>0.74</v>
      </c>
      <c r="S72" s="43">
        <v>0.66</v>
      </c>
      <c r="T72" s="43">
        <v>0.64</v>
      </c>
    </row>
    <row r="73" spans="1:20" ht="60">
      <c r="A73" s="43" t="s">
        <v>20</v>
      </c>
      <c r="B73" s="43" t="s">
        <v>21</v>
      </c>
      <c r="C73" s="43" t="s">
        <v>12</v>
      </c>
      <c r="D73" s="44" t="s">
        <v>22</v>
      </c>
      <c r="E73" s="44" t="s">
        <v>23</v>
      </c>
      <c r="F73" s="44" t="s">
        <v>24</v>
      </c>
      <c r="G73" s="44" t="s">
        <v>25</v>
      </c>
      <c r="H73" s="44" t="s">
        <v>26</v>
      </c>
      <c r="I73" s="44" t="s">
        <v>27</v>
      </c>
      <c r="J73" s="44" t="s">
        <v>28</v>
      </c>
      <c r="K73" s="43">
        <v>15659</v>
      </c>
      <c r="L73" s="43" t="s">
        <v>131</v>
      </c>
      <c r="M73" s="43" t="s">
        <v>132</v>
      </c>
      <c r="N73" s="43">
        <v>0.24</v>
      </c>
      <c r="O73" s="43">
        <v>0.26</v>
      </c>
      <c r="P73" s="43">
        <v>0.28999999999999998</v>
      </c>
      <c r="Q73" s="43">
        <v>0.32</v>
      </c>
      <c r="R73" s="43">
        <v>0.39</v>
      </c>
      <c r="S73" s="43">
        <v>0.37</v>
      </c>
      <c r="T73" s="43">
        <v>0.33</v>
      </c>
    </row>
    <row r="74" spans="1:20" ht="60">
      <c r="A74" s="43" t="s">
        <v>20</v>
      </c>
      <c r="B74" s="43" t="s">
        <v>21</v>
      </c>
      <c r="C74" s="43" t="s">
        <v>12</v>
      </c>
      <c r="D74" s="44" t="s">
        <v>22</v>
      </c>
      <c r="E74" s="44" t="s">
        <v>23</v>
      </c>
      <c r="F74" s="44" t="s">
        <v>24</v>
      </c>
      <c r="G74" s="44" t="s">
        <v>25</v>
      </c>
      <c r="H74" s="44" t="s">
        <v>26</v>
      </c>
      <c r="I74" s="44" t="s">
        <v>27</v>
      </c>
      <c r="J74" s="44" t="s">
        <v>28</v>
      </c>
      <c r="K74" s="43">
        <v>37915</v>
      </c>
      <c r="L74" s="43" t="s">
        <v>133</v>
      </c>
      <c r="M74" s="43" t="s">
        <v>134</v>
      </c>
      <c r="N74" s="43">
        <v>0.35</v>
      </c>
      <c r="O74" s="43">
        <v>0.28999999999999998</v>
      </c>
      <c r="P74" s="43">
        <v>0.37</v>
      </c>
      <c r="Q74" s="43">
        <v>0.26</v>
      </c>
      <c r="R74" s="43">
        <v>0.47</v>
      </c>
      <c r="S74" s="43">
        <v>0.44</v>
      </c>
      <c r="T74" s="43">
        <v>0.39</v>
      </c>
    </row>
    <row r="75" spans="1:20" ht="60">
      <c r="A75" s="43" t="s">
        <v>20</v>
      </c>
      <c r="B75" s="43" t="s">
        <v>21</v>
      </c>
      <c r="C75" s="43" t="s">
        <v>12</v>
      </c>
      <c r="D75" s="44" t="s">
        <v>22</v>
      </c>
      <c r="E75" s="44" t="s">
        <v>23</v>
      </c>
      <c r="F75" s="44" t="s">
        <v>24</v>
      </c>
      <c r="G75" s="44" t="s">
        <v>25</v>
      </c>
      <c r="H75" s="44" t="s">
        <v>26</v>
      </c>
      <c r="I75" s="44" t="s">
        <v>27</v>
      </c>
      <c r="J75" s="44" t="s">
        <v>28</v>
      </c>
      <c r="K75" s="43">
        <v>38670</v>
      </c>
      <c r="L75" s="43" t="s">
        <v>135</v>
      </c>
      <c r="M75" s="43" t="s">
        <v>136</v>
      </c>
      <c r="N75" s="43">
        <v>0.28000000000000003</v>
      </c>
      <c r="O75" s="43">
        <v>0.32</v>
      </c>
      <c r="P75" s="43">
        <v>0.34</v>
      </c>
      <c r="Q75" s="43">
        <v>0.38</v>
      </c>
      <c r="R75" s="43">
        <v>0.46</v>
      </c>
      <c r="S75" s="43">
        <v>0.44</v>
      </c>
      <c r="T75" s="43">
        <v>0.4</v>
      </c>
    </row>
    <row r="76" spans="1:20" ht="60">
      <c r="A76" s="43" t="s">
        <v>20</v>
      </c>
      <c r="B76" s="43" t="s">
        <v>21</v>
      </c>
      <c r="C76" s="43" t="s">
        <v>12</v>
      </c>
      <c r="D76" s="44" t="s">
        <v>22</v>
      </c>
      <c r="E76" s="44" t="s">
        <v>23</v>
      </c>
      <c r="F76" s="44" t="s">
        <v>24</v>
      </c>
      <c r="G76" s="44" t="s">
        <v>25</v>
      </c>
      <c r="H76" s="44" t="s">
        <v>26</v>
      </c>
      <c r="I76" s="44" t="s">
        <v>27</v>
      </c>
      <c r="J76" s="44" t="s">
        <v>28</v>
      </c>
      <c r="K76" s="43">
        <v>106191</v>
      </c>
      <c r="L76" s="43" t="s">
        <v>137</v>
      </c>
      <c r="M76" s="43" t="s">
        <v>138</v>
      </c>
      <c r="N76" s="43">
        <v>0.01</v>
      </c>
      <c r="O76" s="43">
        <v>0.02</v>
      </c>
      <c r="P76" s="43">
        <v>0.04</v>
      </c>
      <c r="Q76" s="43">
        <v>0.02</v>
      </c>
      <c r="R76" s="43">
        <v>0.01</v>
      </c>
      <c r="S76" s="43">
        <v>0.01</v>
      </c>
      <c r="T76" s="43">
        <v>0.02</v>
      </c>
    </row>
    <row r="77" spans="1:20" ht="60">
      <c r="A77" s="43" t="s">
        <v>20</v>
      </c>
      <c r="B77" s="43" t="s">
        <v>21</v>
      </c>
      <c r="C77" s="43" t="s">
        <v>12</v>
      </c>
      <c r="D77" s="44" t="s">
        <v>22</v>
      </c>
      <c r="E77" s="44" t="s">
        <v>23</v>
      </c>
      <c r="F77" s="44" t="s">
        <v>24</v>
      </c>
      <c r="G77" s="44" t="s">
        <v>25</v>
      </c>
      <c r="H77" s="44" t="s">
        <v>26</v>
      </c>
      <c r="I77" s="44" t="s">
        <v>27</v>
      </c>
      <c r="J77" s="44" t="s">
        <v>28</v>
      </c>
      <c r="K77" s="43">
        <v>37870</v>
      </c>
      <c r="L77" s="43" t="s">
        <v>139</v>
      </c>
      <c r="M77" s="43" t="s">
        <v>117</v>
      </c>
      <c r="N77" s="43">
        <v>0.19</v>
      </c>
      <c r="O77" s="43">
        <v>0.19</v>
      </c>
      <c r="P77" s="43">
        <v>0.21</v>
      </c>
      <c r="Q77" s="43">
        <v>0.25</v>
      </c>
      <c r="R77" s="43">
        <v>0.31</v>
      </c>
      <c r="S77" s="43">
        <v>0.25</v>
      </c>
      <c r="T77" s="43">
        <v>0.23</v>
      </c>
    </row>
    <row r="78" spans="1:20" ht="60">
      <c r="A78" s="43" t="s">
        <v>20</v>
      </c>
      <c r="B78" s="43" t="s">
        <v>21</v>
      </c>
      <c r="C78" s="43" t="s">
        <v>12</v>
      </c>
      <c r="D78" s="44" t="s">
        <v>22</v>
      </c>
      <c r="E78" s="44" t="s">
        <v>23</v>
      </c>
      <c r="F78" s="44" t="s">
        <v>24</v>
      </c>
      <c r="G78" s="44" t="s">
        <v>25</v>
      </c>
      <c r="H78" s="44" t="s">
        <v>26</v>
      </c>
      <c r="I78" s="44" t="s">
        <v>27</v>
      </c>
      <c r="J78" s="44" t="s">
        <v>28</v>
      </c>
      <c r="K78" s="43">
        <v>38493</v>
      </c>
      <c r="L78" s="43" t="s">
        <v>140</v>
      </c>
      <c r="M78" s="43" t="s">
        <v>141</v>
      </c>
      <c r="N78" s="43">
        <v>0.14000000000000001</v>
      </c>
      <c r="O78" s="43">
        <v>0.15</v>
      </c>
      <c r="P78" s="43">
        <v>0.16</v>
      </c>
      <c r="Q78" s="43">
        <v>0.16</v>
      </c>
      <c r="R78" s="43">
        <v>0.17</v>
      </c>
      <c r="S78" s="43">
        <v>0.16</v>
      </c>
      <c r="T78" s="43">
        <v>0.18</v>
      </c>
    </row>
    <row r="79" spans="1:20" ht="60">
      <c r="A79" s="43" t="s">
        <v>20</v>
      </c>
      <c r="B79" s="43" t="s">
        <v>21</v>
      </c>
      <c r="C79" s="43" t="s">
        <v>12</v>
      </c>
      <c r="D79" s="44" t="s">
        <v>22</v>
      </c>
      <c r="E79" s="44" t="s">
        <v>23</v>
      </c>
      <c r="F79" s="44" t="s">
        <v>24</v>
      </c>
      <c r="G79" s="44" t="s">
        <v>25</v>
      </c>
      <c r="H79" s="44" t="s">
        <v>26</v>
      </c>
      <c r="I79" s="44" t="s">
        <v>27</v>
      </c>
      <c r="J79" s="44" t="s">
        <v>28</v>
      </c>
      <c r="K79" s="43">
        <v>37883</v>
      </c>
      <c r="L79" s="43" t="s">
        <v>142</v>
      </c>
      <c r="M79" s="43" t="s">
        <v>143</v>
      </c>
      <c r="N79" s="43">
        <v>0</v>
      </c>
      <c r="O79" s="43">
        <v>7.0000000000000007E-2</v>
      </c>
      <c r="P79" s="43">
        <v>0.13</v>
      </c>
      <c r="Q79" s="43">
        <v>0.04</v>
      </c>
      <c r="R79" s="43">
        <v>0.05</v>
      </c>
      <c r="S79" s="43">
        <v>0.05</v>
      </c>
      <c r="T79" s="43">
        <v>0.11</v>
      </c>
    </row>
    <row r="80" spans="1:20" ht="60">
      <c r="A80" s="43" t="s">
        <v>20</v>
      </c>
      <c r="B80" s="43" t="s">
        <v>21</v>
      </c>
      <c r="C80" s="43" t="s">
        <v>12</v>
      </c>
      <c r="D80" s="44" t="s">
        <v>22</v>
      </c>
      <c r="E80" s="44" t="s">
        <v>23</v>
      </c>
      <c r="F80" s="44" t="s">
        <v>24</v>
      </c>
      <c r="G80" s="44" t="s">
        <v>25</v>
      </c>
      <c r="H80" s="44" t="s">
        <v>26</v>
      </c>
      <c r="I80" s="44" t="s">
        <v>27</v>
      </c>
      <c r="J80" s="44" t="s">
        <v>28</v>
      </c>
      <c r="K80" s="43">
        <v>38722</v>
      </c>
      <c r="L80" s="43" t="s">
        <v>144</v>
      </c>
      <c r="M80" s="43" t="s">
        <v>117</v>
      </c>
      <c r="N80" s="43">
        <v>0.08</v>
      </c>
      <c r="O80" s="43">
        <v>0.05</v>
      </c>
      <c r="P80" s="43">
        <v>0.08</v>
      </c>
      <c r="Q80" s="43">
        <v>0.08</v>
      </c>
      <c r="R80" s="43">
        <v>0.13</v>
      </c>
      <c r="S80" s="43">
        <v>0.09</v>
      </c>
      <c r="T80" s="43">
        <v>0.08</v>
      </c>
    </row>
    <row r="81" spans="1:20" ht="60">
      <c r="A81" s="43" t="s">
        <v>20</v>
      </c>
      <c r="B81" s="43" t="s">
        <v>21</v>
      </c>
      <c r="C81" s="43" t="s">
        <v>12</v>
      </c>
      <c r="D81" s="44" t="s">
        <v>22</v>
      </c>
      <c r="E81" s="44" t="s">
        <v>23</v>
      </c>
      <c r="F81" s="44" t="s">
        <v>24</v>
      </c>
      <c r="G81" s="44" t="s">
        <v>25</v>
      </c>
      <c r="H81" s="44" t="s">
        <v>26</v>
      </c>
      <c r="I81" s="44" t="s">
        <v>27</v>
      </c>
      <c r="J81" s="44" t="s">
        <v>28</v>
      </c>
      <c r="K81" s="43">
        <v>100457</v>
      </c>
      <c r="L81" s="43" t="s">
        <v>145</v>
      </c>
      <c r="M81" s="43" t="s">
        <v>117</v>
      </c>
      <c r="N81" s="43">
        <v>0.04</v>
      </c>
      <c r="O81" s="43">
        <v>7.0000000000000007E-2</v>
      </c>
      <c r="P81" s="43">
        <v>0.05</v>
      </c>
      <c r="Q81" s="43">
        <v>0.05</v>
      </c>
      <c r="R81" s="43">
        <v>0.1</v>
      </c>
      <c r="S81" s="43">
        <v>0.09</v>
      </c>
      <c r="T81" s="43">
        <v>0.05</v>
      </c>
    </row>
    <row r="82" spans="1:20" ht="60">
      <c r="A82" s="43" t="s">
        <v>20</v>
      </c>
      <c r="B82" s="43" t="s">
        <v>21</v>
      </c>
      <c r="C82" s="43" t="s">
        <v>12</v>
      </c>
      <c r="D82" s="44" t="s">
        <v>22</v>
      </c>
      <c r="E82" s="44" t="s">
        <v>23</v>
      </c>
      <c r="F82" s="44" t="s">
        <v>24</v>
      </c>
      <c r="G82" s="44" t="s">
        <v>25</v>
      </c>
      <c r="H82" s="44" t="s">
        <v>26</v>
      </c>
      <c r="I82" s="44" t="s">
        <v>27</v>
      </c>
      <c r="J82" s="44" t="s">
        <v>28</v>
      </c>
      <c r="K82" s="43">
        <v>37909</v>
      </c>
      <c r="L82" s="43" t="s">
        <v>146</v>
      </c>
      <c r="M82" s="43" t="s">
        <v>147</v>
      </c>
      <c r="N82" s="43">
        <v>0.93</v>
      </c>
      <c r="O82" s="43">
        <v>0.81</v>
      </c>
      <c r="P82" s="43">
        <v>1.17</v>
      </c>
      <c r="Q82" s="43">
        <v>0.97</v>
      </c>
      <c r="R82" s="43">
        <v>1.38</v>
      </c>
      <c r="S82" s="43">
        <v>1.26</v>
      </c>
      <c r="T82" s="43">
        <v>1.28</v>
      </c>
    </row>
    <row r="83" spans="1:20" ht="60">
      <c r="A83" s="43" t="s">
        <v>20</v>
      </c>
      <c r="B83" s="43" t="s">
        <v>21</v>
      </c>
      <c r="C83" s="43" t="s">
        <v>12</v>
      </c>
      <c r="D83" s="44" t="s">
        <v>22</v>
      </c>
      <c r="E83" s="44" t="s">
        <v>23</v>
      </c>
      <c r="F83" s="44" t="s">
        <v>24</v>
      </c>
      <c r="G83" s="44" t="s">
        <v>25</v>
      </c>
      <c r="H83" s="44" t="s">
        <v>26</v>
      </c>
      <c r="I83" s="44" t="s">
        <v>27</v>
      </c>
      <c r="J83" s="44" t="s">
        <v>28</v>
      </c>
      <c r="K83" s="43">
        <v>37913</v>
      </c>
      <c r="L83" s="43" t="s">
        <v>148</v>
      </c>
      <c r="M83" s="43" t="s">
        <v>149</v>
      </c>
      <c r="N83" s="43">
        <v>0.04</v>
      </c>
      <c r="O83" s="43">
        <v>0.04</v>
      </c>
      <c r="P83" s="43">
        <v>0.04</v>
      </c>
      <c r="Q83" s="43">
        <v>0.05</v>
      </c>
      <c r="R83" s="43">
        <v>0.06</v>
      </c>
      <c r="S83" s="43">
        <v>0.06</v>
      </c>
      <c r="T83" s="43">
        <v>0.05</v>
      </c>
    </row>
    <row r="84" spans="1:20" ht="60">
      <c r="A84" s="43" t="s">
        <v>20</v>
      </c>
      <c r="B84" s="43" t="s">
        <v>21</v>
      </c>
      <c r="C84" s="43" t="s">
        <v>12</v>
      </c>
      <c r="D84" s="44" t="s">
        <v>22</v>
      </c>
      <c r="E84" s="44" t="s">
        <v>23</v>
      </c>
      <c r="F84" s="44" t="s">
        <v>24</v>
      </c>
      <c r="G84" s="44" t="s">
        <v>25</v>
      </c>
      <c r="H84" s="44" t="s">
        <v>26</v>
      </c>
      <c r="I84" s="44" t="s">
        <v>27</v>
      </c>
      <c r="J84" s="44" t="s">
        <v>28</v>
      </c>
      <c r="K84" s="43">
        <v>38414</v>
      </c>
      <c r="L84" s="43" t="s">
        <v>150</v>
      </c>
      <c r="M84" s="43" t="s">
        <v>141</v>
      </c>
      <c r="N84" s="43">
        <v>0.25</v>
      </c>
      <c r="O84" s="43">
        <v>0.28999999999999998</v>
      </c>
      <c r="P84" s="43">
        <v>0.28000000000000003</v>
      </c>
      <c r="Q84" s="43">
        <v>0.27</v>
      </c>
      <c r="R84" s="43">
        <v>0.33</v>
      </c>
      <c r="S84" s="43">
        <v>0.38</v>
      </c>
      <c r="T84" s="43">
        <v>0.37</v>
      </c>
    </row>
    <row r="85" spans="1:20" ht="60">
      <c r="A85" s="43" t="s">
        <v>20</v>
      </c>
      <c r="B85" s="43" t="s">
        <v>21</v>
      </c>
      <c r="C85" s="43" t="s">
        <v>12</v>
      </c>
      <c r="D85" s="44" t="s">
        <v>22</v>
      </c>
      <c r="E85" s="44" t="s">
        <v>23</v>
      </c>
      <c r="F85" s="44" t="s">
        <v>24</v>
      </c>
      <c r="G85" s="44" t="s">
        <v>25</v>
      </c>
      <c r="H85" s="44" t="s">
        <v>26</v>
      </c>
      <c r="I85" s="44" t="s">
        <v>27</v>
      </c>
      <c r="J85" s="44" t="s">
        <v>28</v>
      </c>
      <c r="K85" s="43">
        <v>37907</v>
      </c>
      <c r="L85" s="43" t="s">
        <v>151</v>
      </c>
      <c r="M85" s="43" t="s">
        <v>134</v>
      </c>
      <c r="N85" s="43">
        <v>0.11</v>
      </c>
      <c r="O85" s="43">
        <v>0.1</v>
      </c>
      <c r="P85" s="43">
        <v>0.12</v>
      </c>
      <c r="Q85" s="43">
        <v>0.11</v>
      </c>
      <c r="R85" s="43">
        <v>0.15</v>
      </c>
      <c r="S85" s="43">
        <v>0.14000000000000001</v>
      </c>
      <c r="T85" s="43">
        <v>0.13</v>
      </c>
    </row>
    <row r="86" spans="1:20" ht="60">
      <c r="A86" s="43" t="s">
        <v>20</v>
      </c>
      <c r="B86" s="43" t="s">
        <v>21</v>
      </c>
      <c r="C86" s="43" t="s">
        <v>12</v>
      </c>
      <c r="D86" s="44" t="s">
        <v>22</v>
      </c>
      <c r="E86" s="44" t="s">
        <v>23</v>
      </c>
      <c r="F86" s="44" t="s">
        <v>24</v>
      </c>
      <c r="G86" s="44" t="s">
        <v>25</v>
      </c>
      <c r="H86" s="44" t="s">
        <v>26</v>
      </c>
      <c r="I86" s="44" t="s">
        <v>27</v>
      </c>
      <c r="J86" s="44" t="s">
        <v>28</v>
      </c>
      <c r="K86" s="43">
        <v>39185</v>
      </c>
      <c r="L86" s="43" t="s">
        <v>152</v>
      </c>
      <c r="M86" s="43" t="s">
        <v>153</v>
      </c>
      <c r="N86" s="43">
        <v>0.04</v>
      </c>
      <c r="O86" s="43">
        <v>0.03</v>
      </c>
      <c r="P86" s="43">
        <v>0.05</v>
      </c>
      <c r="Q86" s="43">
        <v>0.04</v>
      </c>
      <c r="R86" s="43">
        <v>0.06</v>
      </c>
      <c r="S86" s="43">
        <v>0.05</v>
      </c>
      <c r="T86" s="43">
        <v>0.05</v>
      </c>
    </row>
    <row r="87" spans="1:20" ht="60">
      <c r="A87" s="43" t="s">
        <v>20</v>
      </c>
      <c r="B87" s="43" t="s">
        <v>21</v>
      </c>
      <c r="C87" s="43" t="s">
        <v>12</v>
      </c>
      <c r="D87" s="44" t="s">
        <v>22</v>
      </c>
      <c r="E87" s="44" t="s">
        <v>23</v>
      </c>
      <c r="F87" s="44" t="s">
        <v>24</v>
      </c>
      <c r="G87" s="44" t="s">
        <v>25</v>
      </c>
      <c r="H87" s="44" t="s">
        <v>26</v>
      </c>
      <c r="I87" s="44" t="s">
        <v>27</v>
      </c>
      <c r="J87" s="44" t="s">
        <v>28</v>
      </c>
      <c r="K87" s="43">
        <v>34210</v>
      </c>
      <c r="L87" s="43" t="s">
        <v>154</v>
      </c>
      <c r="M87" s="43" t="s">
        <v>155</v>
      </c>
      <c r="N87" s="43">
        <v>0</v>
      </c>
      <c r="O87" s="43">
        <v>0.01</v>
      </c>
      <c r="P87" s="43">
        <v>0.02</v>
      </c>
      <c r="Q87" s="43">
        <v>0.01</v>
      </c>
      <c r="R87" s="43">
        <v>0.01</v>
      </c>
      <c r="S87" s="43">
        <v>0.01</v>
      </c>
      <c r="T87" s="43">
        <v>0.02</v>
      </c>
    </row>
    <row r="88" spans="1:20" ht="60">
      <c r="A88" s="43" t="s">
        <v>20</v>
      </c>
      <c r="B88" s="43" t="s">
        <v>21</v>
      </c>
      <c r="C88" s="43" t="s">
        <v>12</v>
      </c>
      <c r="D88" s="44" t="s">
        <v>22</v>
      </c>
      <c r="E88" s="44" t="s">
        <v>23</v>
      </c>
      <c r="F88" s="44" t="s">
        <v>24</v>
      </c>
      <c r="G88" s="44" t="s">
        <v>25</v>
      </c>
      <c r="H88" s="44" t="s">
        <v>26</v>
      </c>
      <c r="I88" s="44" t="s">
        <v>27</v>
      </c>
      <c r="J88" s="44" t="s">
        <v>28</v>
      </c>
      <c r="K88" s="43">
        <v>38362</v>
      </c>
      <c r="L88" s="43" t="s">
        <v>156</v>
      </c>
      <c r="M88" s="43" t="s">
        <v>157</v>
      </c>
      <c r="N88" s="43">
        <v>1.51</v>
      </c>
      <c r="O88" s="43">
        <v>1.85</v>
      </c>
      <c r="P88" s="43">
        <v>1.94</v>
      </c>
      <c r="Q88" s="43">
        <v>2.21</v>
      </c>
      <c r="R88" s="43">
        <v>2.5099999999999998</v>
      </c>
      <c r="S88" s="43">
        <v>2.73</v>
      </c>
      <c r="T88" s="43">
        <v>2.21</v>
      </c>
    </row>
    <row r="89" spans="1:20" ht="60">
      <c r="A89" s="43" t="s">
        <v>20</v>
      </c>
      <c r="B89" s="43" t="s">
        <v>21</v>
      </c>
      <c r="C89" s="43" t="s">
        <v>12</v>
      </c>
      <c r="D89" s="44" t="s">
        <v>22</v>
      </c>
      <c r="E89" s="44" t="s">
        <v>23</v>
      </c>
      <c r="F89" s="44" t="s">
        <v>24</v>
      </c>
      <c r="G89" s="44" t="s">
        <v>25</v>
      </c>
      <c r="H89" s="44" t="s">
        <v>26</v>
      </c>
      <c r="I89" s="44" t="s">
        <v>27</v>
      </c>
      <c r="J89" s="44" t="s">
        <v>28</v>
      </c>
      <c r="K89" s="43">
        <v>38360</v>
      </c>
      <c r="L89" s="43" t="s">
        <v>158</v>
      </c>
      <c r="M89" s="43" t="s">
        <v>159</v>
      </c>
      <c r="N89" s="45">
        <v>2194.8000000000002</v>
      </c>
      <c r="O89" s="45">
        <v>2520.9</v>
      </c>
      <c r="P89" s="45">
        <v>3355.2</v>
      </c>
      <c r="Q89" s="45">
        <v>4101.3</v>
      </c>
      <c r="R89" s="45">
        <v>4235.7</v>
      </c>
      <c r="S89" s="45">
        <v>4270.2</v>
      </c>
      <c r="T89" s="45">
        <v>2888.4</v>
      </c>
    </row>
    <row r="90" spans="1:20" ht="60">
      <c r="A90" s="43" t="s">
        <v>20</v>
      </c>
      <c r="B90" s="43" t="s">
        <v>21</v>
      </c>
      <c r="C90" s="43" t="s">
        <v>12</v>
      </c>
      <c r="D90" s="44" t="s">
        <v>22</v>
      </c>
      <c r="E90" s="44" t="s">
        <v>23</v>
      </c>
      <c r="F90" s="44" t="s">
        <v>24</v>
      </c>
      <c r="G90" s="44" t="s">
        <v>25</v>
      </c>
      <c r="H90" s="44" t="s">
        <v>26</v>
      </c>
      <c r="I90" s="44" t="s">
        <v>27</v>
      </c>
      <c r="J90" s="44" t="s">
        <v>28</v>
      </c>
      <c r="K90" s="43">
        <v>38358</v>
      </c>
      <c r="L90" s="43" t="s">
        <v>160</v>
      </c>
      <c r="M90" s="43" t="s">
        <v>159</v>
      </c>
      <c r="N90" s="45">
        <v>6656</v>
      </c>
      <c r="O90" s="45">
        <v>5427.5</v>
      </c>
      <c r="P90" s="45">
        <v>6736</v>
      </c>
      <c r="Q90" s="45">
        <v>5171.5</v>
      </c>
      <c r="R90" s="45">
        <v>8120</v>
      </c>
      <c r="S90" s="45">
        <v>8116.5</v>
      </c>
      <c r="T90" s="45">
        <v>7237.5</v>
      </c>
    </row>
    <row r="91" spans="1:20" ht="60">
      <c r="A91" s="43" t="s">
        <v>20</v>
      </c>
      <c r="B91" s="43" t="s">
        <v>21</v>
      </c>
      <c r="C91" s="43" t="s">
        <v>12</v>
      </c>
      <c r="D91" s="44" t="s">
        <v>22</v>
      </c>
      <c r="E91" s="44" t="s">
        <v>23</v>
      </c>
      <c r="F91" s="44" t="s">
        <v>24</v>
      </c>
      <c r="G91" s="44" t="s">
        <v>25</v>
      </c>
      <c r="H91" s="44" t="s">
        <v>26</v>
      </c>
      <c r="I91" s="44" t="s">
        <v>27</v>
      </c>
      <c r="J91" s="44" t="s">
        <v>28</v>
      </c>
      <c r="K91" s="43">
        <v>38372</v>
      </c>
      <c r="L91" s="43" t="s">
        <v>161</v>
      </c>
      <c r="M91" s="43" t="s">
        <v>76</v>
      </c>
      <c r="N91" s="43">
        <v>179</v>
      </c>
      <c r="O91" s="43">
        <v>205</v>
      </c>
      <c r="P91" s="43">
        <v>224</v>
      </c>
      <c r="Q91" s="43">
        <v>208</v>
      </c>
      <c r="R91" s="43">
        <v>286</v>
      </c>
      <c r="S91" s="43">
        <v>225</v>
      </c>
      <c r="T91" s="43">
        <v>195</v>
      </c>
    </row>
    <row r="92" spans="1:20" ht="60">
      <c r="A92" s="43" t="s">
        <v>20</v>
      </c>
      <c r="B92" s="43" t="s">
        <v>21</v>
      </c>
      <c r="C92" s="43" t="s">
        <v>12</v>
      </c>
      <c r="D92" s="44" t="s">
        <v>22</v>
      </c>
      <c r="E92" s="44" t="s">
        <v>23</v>
      </c>
      <c r="F92" s="44" t="s">
        <v>24</v>
      </c>
      <c r="G92" s="44" t="s">
        <v>25</v>
      </c>
      <c r="H92" s="44" t="s">
        <v>26</v>
      </c>
      <c r="I92" s="44" t="s">
        <v>27</v>
      </c>
      <c r="J92" s="44" t="s">
        <v>28</v>
      </c>
      <c r="K92" s="43">
        <v>38377</v>
      </c>
      <c r="L92" s="43" t="s">
        <v>162</v>
      </c>
      <c r="M92" s="43" t="s">
        <v>159</v>
      </c>
      <c r="N92" s="45">
        <v>1750</v>
      </c>
      <c r="O92" s="45">
        <v>1568</v>
      </c>
      <c r="P92" s="45">
        <v>1862</v>
      </c>
      <c r="Q92" s="45">
        <v>1806</v>
      </c>
      <c r="R92" s="45">
        <v>2506</v>
      </c>
      <c r="S92" s="45">
        <v>2030</v>
      </c>
      <c r="T92" s="45">
        <v>2282</v>
      </c>
    </row>
    <row r="93" spans="1:20" ht="60">
      <c r="A93" s="43" t="s">
        <v>20</v>
      </c>
      <c r="B93" s="43" t="s">
        <v>21</v>
      </c>
      <c r="C93" s="43" t="s">
        <v>12</v>
      </c>
      <c r="D93" s="44" t="s">
        <v>22</v>
      </c>
      <c r="E93" s="44" t="s">
        <v>23</v>
      </c>
      <c r="F93" s="44" t="s">
        <v>24</v>
      </c>
      <c r="G93" s="44" t="s">
        <v>25</v>
      </c>
      <c r="H93" s="44" t="s">
        <v>26</v>
      </c>
      <c r="I93" s="44" t="s">
        <v>27</v>
      </c>
      <c r="J93" s="44" t="s">
        <v>28</v>
      </c>
      <c r="K93" s="43">
        <v>38295</v>
      </c>
      <c r="L93" s="43" t="s">
        <v>163</v>
      </c>
      <c r="M93" s="43" t="s">
        <v>76</v>
      </c>
      <c r="N93" s="43">
        <v>87</v>
      </c>
      <c r="O93" s="43">
        <v>70</v>
      </c>
      <c r="P93" s="43">
        <v>94</v>
      </c>
      <c r="Q93" s="43">
        <v>87</v>
      </c>
      <c r="R93" s="43">
        <v>116</v>
      </c>
      <c r="S93" s="43">
        <v>115</v>
      </c>
      <c r="T93" s="43">
        <v>119</v>
      </c>
    </row>
    <row r="94" spans="1:20" ht="60">
      <c r="A94" s="43" t="s">
        <v>20</v>
      </c>
      <c r="B94" s="43" t="s">
        <v>21</v>
      </c>
      <c r="C94" s="43" t="s">
        <v>12</v>
      </c>
      <c r="D94" s="44" t="s">
        <v>22</v>
      </c>
      <c r="E94" s="44" t="s">
        <v>23</v>
      </c>
      <c r="F94" s="44" t="s">
        <v>24</v>
      </c>
      <c r="G94" s="44" t="s">
        <v>25</v>
      </c>
      <c r="H94" s="44" t="s">
        <v>26</v>
      </c>
      <c r="I94" s="44" t="s">
        <v>27</v>
      </c>
      <c r="J94" s="44" t="s">
        <v>28</v>
      </c>
      <c r="K94" s="43">
        <v>15112</v>
      </c>
      <c r="L94" s="43" t="s">
        <v>164</v>
      </c>
      <c r="M94" s="43" t="s">
        <v>132</v>
      </c>
      <c r="N94" s="43">
        <v>1.04</v>
      </c>
      <c r="O94" s="43">
        <v>1.07</v>
      </c>
      <c r="P94" s="43">
        <v>1.19</v>
      </c>
      <c r="Q94" s="43">
        <v>1.28</v>
      </c>
      <c r="R94" s="43">
        <v>1.57</v>
      </c>
      <c r="S94" s="43">
        <v>1.44</v>
      </c>
      <c r="T94" s="43">
        <v>1.39</v>
      </c>
    </row>
    <row r="95" spans="1:20" ht="60">
      <c r="A95" s="43" t="s">
        <v>20</v>
      </c>
      <c r="B95" s="43" t="s">
        <v>21</v>
      </c>
      <c r="C95" s="43" t="s">
        <v>12</v>
      </c>
      <c r="D95" s="44" t="s">
        <v>22</v>
      </c>
      <c r="E95" s="44" t="s">
        <v>23</v>
      </c>
      <c r="F95" s="44" t="s">
        <v>24</v>
      </c>
      <c r="G95" s="44" t="s">
        <v>25</v>
      </c>
      <c r="H95" s="44" t="s">
        <v>26</v>
      </c>
      <c r="I95" s="44" t="s">
        <v>27</v>
      </c>
      <c r="J95" s="44" t="s">
        <v>28</v>
      </c>
      <c r="K95" s="43">
        <v>37891</v>
      </c>
      <c r="L95" s="43" t="s">
        <v>165</v>
      </c>
      <c r="M95" s="43" t="s">
        <v>166</v>
      </c>
      <c r="N95" s="43">
        <v>0.62</v>
      </c>
      <c r="O95" s="43">
        <v>0.64</v>
      </c>
      <c r="P95" s="43">
        <v>0.74</v>
      </c>
      <c r="Q95" s="43">
        <v>0.68</v>
      </c>
      <c r="R95" s="43">
        <v>0.93</v>
      </c>
      <c r="S95" s="43">
        <v>0.79</v>
      </c>
      <c r="T95" s="43">
        <v>0.73</v>
      </c>
    </row>
    <row r="96" spans="1:20" ht="60">
      <c r="A96" s="43" t="s">
        <v>20</v>
      </c>
      <c r="B96" s="43" t="s">
        <v>21</v>
      </c>
      <c r="C96" s="43" t="s">
        <v>12</v>
      </c>
      <c r="D96" s="44" t="s">
        <v>22</v>
      </c>
      <c r="E96" s="44" t="s">
        <v>23</v>
      </c>
      <c r="F96" s="44" t="s">
        <v>24</v>
      </c>
      <c r="G96" s="44" t="s">
        <v>25</v>
      </c>
      <c r="H96" s="44" t="s">
        <v>26</v>
      </c>
      <c r="I96" s="44" t="s">
        <v>27</v>
      </c>
      <c r="J96" s="44" t="s">
        <v>28</v>
      </c>
      <c r="K96" s="43">
        <v>37923</v>
      </c>
      <c r="L96" s="43" t="s">
        <v>167</v>
      </c>
      <c r="M96" s="43" t="s">
        <v>168</v>
      </c>
      <c r="N96" s="43">
        <v>1.0900000000000001</v>
      </c>
      <c r="O96" s="43">
        <v>0.94</v>
      </c>
      <c r="P96" s="43">
        <v>1.23</v>
      </c>
      <c r="Q96" s="43">
        <v>0.92</v>
      </c>
      <c r="R96" s="43">
        <v>1.47</v>
      </c>
      <c r="S96" s="43">
        <v>1.25</v>
      </c>
      <c r="T96" s="43">
        <v>1.29</v>
      </c>
    </row>
    <row r="97" spans="1:20" ht="60">
      <c r="A97" s="43" t="s">
        <v>20</v>
      </c>
      <c r="B97" s="43" t="s">
        <v>21</v>
      </c>
      <c r="C97" s="43" t="s">
        <v>12</v>
      </c>
      <c r="D97" s="44" t="s">
        <v>22</v>
      </c>
      <c r="E97" s="44" t="s">
        <v>23</v>
      </c>
      <c r="F97" s="44" t="s">
        <v>24</v>
      </c>
      <c r="G97" s="44" t="s">
        <v>25</v>
      </c>
      <c r="H97" s="44" t="s">
        <v>26</v>
      </c>
      <c r="I97" s="44" t="s">
        <v>27</v>
      </c>
      <c r="J97" s="44" t="s">
        <v>28</v>
      </c>
      <c r="K97" s="43">
        <v>37925</v>
      </c>
      <c r="L97" s="43" t="s">
        <v>169</v>
      </c>
      <c r="M97" s="43" t="s">
        <v>168</v>
      </c>
      <c r="N97" s="43">
        <v>0.81</v>
      </c>
      <c r="O97" s="43">
        <v>0.65</v>
      </c>
      <c r="P97" s="43">
        <v>0.85</v>
      </c>
      <c r="Q97" s="43">
        <v>0.81</v>
      </c>
      <c r="R97" s="43">
        <v>1.03</v>
      </c>
      <c r="S97" s="43">
        <v>1.1200000000000001</v>
      </c>
      <c r="T97" s="43">
        <v>1</v>
      </c>
    </row>
    <row r="98" spans="1:20" ht="60">
      <c r="A98" s="43" t="s">
        <v>20</v>
      </c>
      <c r="B98" s="43" t="s">
        <v>21</v>
      </c>
      <c r="C98" s="43" t="s">
        <v>12</v>
      </c>
      <c r="D98" s="44" t="s">
        <v>22</v>
      </c>
      <c r="E98" s="44" t="s">
        <v>23</v>
      </c>
      <c r="F98" s="44" t="s">
        <v>24</v>
      </c>
      <c r="G98" s="44" t="s">
        <v>25</v>
      </c>
      <c r="H98" s="44" t="s">
        <v>26</v>
      </c>
      <c r="I98" s="44" t="s">
        <v>27</v>
      </c>
      <c r="J98" s="44" t="s">
        <v>28</v>
      </c>
      <c r="K98" s="43">
        <v>37927</v>
      </c>
      <c r="L98" s="43" t="s">
        <v>170</v>
      </c>
      <c r="M98" s="43" t="s">
        <v>171</v>
      </c>
      <c r="N98" s="43">
        <v>0.26</v>
      </c>
      <c r="O98" s="43">
        <v>0.28999999999999998</v>
      </c>
      <c r="P98" s="43">
        <v>0.22</v>
      </c>
      <c r="Q98" s="43">
        <v>0.26</v>
      </c>
      <c r="R98" s="43">
        <v>0.36</v>
      </c>
      <c r="S98" s="43">
        <v>0.34</v>
      </c>
      <c r="T98" s="43">
        <v>0.46</v>
      </c>
    </row>
    <row r="99" spans="1:20" ht="60">
      <c r="A99" s="43" t="s">
        <v>20</v>
      </c>
      <c r="B99" s="43" t="s">
        <v>21</v>
      </c>
      <c r="C99" s="43" t="s">
        <v>12</v>
      </c>
      <c r="D99" s="44" t="s">
        <v>22</v>
      </c>
      <c r="E99" s="44" t="s">
        <v>23</v>
      </c>
      <c r="F99" s="44" t="s">
        <v>24</v>
      </c>
      <c r="G99" s="44" t="s">
        <v>25</v>
      </c>
      <c r="H99" s="44" t="s">
        <v>26</v>
      </c>
      <c r="I99" s="44" t="s">
        <v>27</v>
      </c>
      <c r="J99" s="44" t="s">
        <v>28</v>
      </c>
      <c r="K99" s="43">
        <v>13529</v>
      </c>
      <c r="L99" s="43" t="s">
        <v>172</v>
      </c>
      <c r="M99" s="43" t="s">
        <v>173</v>
      </c>
      <c r="N99" s="43">
        <v>0.11</v>
      </c>
      <c r="O99" s="43">
        <v>0.12</v>
      </c>
      <c r="P99" s="43">
        <v>0.13</v>
      </c>
      <c r="Q99" s="43">
        <v>0.11</v>
      </c>
      <c r="R99" s="43">
        <v>0.23</v>
      </c>
      <c r="S99" s="43">
        <v>0.22</v>
      </c>
      <c r="T99" s="43">
        <v>0.22</v>
      </c>
    </row>
    <row r="100" spans="1:20" ht="60">
      <c r="A100" s="43" t="s">
        <v>20</v>
      </c>
      <c r="B100" s="43" t="s">
        <v>21</v>
      </c>
      <c r="C100" s="43" t="s">
        <v>12</v>
      </c>
      <c r="D100" s="44" t="s">
        <v>22</v>
      </c>
      <c r="E100" s="44" t="s">
        <v>23</v>
      </c>
      <c r="F100" s="44" t="s">
        <v>24</v>
      </c>
      <c r="G100" s="44" t="s">
        <v>25</v>
      </c>
      <c r="H100" s="44" t="s">
        <v>26</v>
      </c>
      <c r="I100" s="44" t="s">
        <v>27</v>
      </c>
      <c r="J100" s="44" t="s">
        <v>28</v>
      </c>
      <c r="K100" s="43">
        <v>39769</v>
      </c>
      <c r="L100" s="43" t="s">
        <v>174</v>
      </c>
      <c r="M100" s="43" t="s">
        <v>30</v>
      </c>
      <c r="N100" s="43">
        <v>0.03</v>
      </c>
      <c r="O100" s="43">
        <v>0.04</v>
      </c>
      <c r="P100" s="43">
        <v>0.05</v>
      </c>
      <c r="Q100" s="43">
        <v>0.06</v>
      </c>
      <c r="R100" s="43">
        <v>0.06</v>
      </c>
      <c r="S100" s="43">
        <v>0.06</v>
      </c>
      <c r="T100" s="43">
        <v>0.04</v>
      </c>
    </row>
    <row r="101" spans="1:20" ht="60">
      <c r="A101" s="43" t="s">
        <v>20</v>
      </c>
      <c r="B101" s="43" t="s">
        <v>21</v>
      </c>
      <c r="C101" s="43" t="s">
        <v>12</v>
      </c>
      <c r="D101" s="44" t="s">
        <v>22</v>
      </c>
      <c r="E101" s="44" t="s">
        <v>23</v>
      </c>
      <c r="F101" s="44" t="s">
        <v>24</v>
      </c>
      <c r="G101" s="44" t="s">
        <v>25</v>
      </c>
      <c r="H101" s="44" t="s">
        <v>26</v>
      </c>
      <c r="I101" s="44" t="s">
        <v>27</v>
      </c>
      <c r="J101" s="44" t="s">
        <v>28</v>
      </c>
      <c r="K101" s="43">
        <v>37901</v>
      </c>
      <c r="L101" s="43" t="s">
        <v>175</v>
      </c>
      <c r="M101" s="43" t="s">
        <v>35</v>
      </c>
      <c r="N101" s="43">
        <v>0.09</v>
      </c>
      <c r="O101" s="43">
        <v>0.09</v>
      </c>
      <c r="P101" s="43">
        <v>0.1</v>
      </c>
      <c r="Q101" s="43">
        <v>0.09</v>
      </c>
      <c r="R101" s="43">
        <v>0.13</v>
      </c>
      <c r="S101" s="43">
        <v>0.12</v>
      </c>
      <c r="T101" s="43">
        <v>0.11</v>
      </c>
    </row>
    <row r="102" spans="1:20" ht="60">
      <c r="A102" s="43" t="s">
        <v>20</v>
      </c>
      <c r="B102" s="43" t="s">
        <v>21</v>
      </c>
      <c r="C102" s="43" t="s">
        <v>12</v>
      </c>
      <c r="D102" s="44" t="s">
        <v>22</v>
      </c>
      <c r="E102" s="44" t="s">
        <v>23</v>
      </c>
      <c r="F102" s="44" t="s">
        <v>24</v>
      </c>
      <c r="G102" s="44" t="s">
        <v>25</v>
      </c>
      <c r="H102" s="44" t="s">
        <v>26</v>
      </c>
      <c r="I102" s="44" t="s">
        <v>27</v>
      </c>
      <c r="J102" s="44" t="s">
        <v>28</v>
      </c>
      <c r="K102" s="43">
        <v>37921</v>
      </c>
      <c r="L102" s="43" t="s">
        <v>176</v>
      </c>
      <c r="M102" s="43" t="s">
        <v>35</v>
      </c>
      <c r="N102" s="43">
        <v>0.06</v>
      </c>
      <c r="O102" s="43">
        <v>0.06</v>
      </c>
      <c r="P102" s="43">
        <v>0.06</v>
      </c>
      <c r="Q102" s="43">
        <v>0.06</v>
      </c>
      <c r="R102" s="43">
        <v>0.08</v>
      </c>
      <c r="S102" s="43">
        <v>0.06</v>
      </c>
      <c r="T102" s="43">
        <v>7.0000000000000007E-2</v>
      </c>
    </row>
    <row r="103" spans="1:20" ht="60">
      <c r="A103" s="43" t="s">
        <v>20</v>
      </c>
      <c r="B103" s="43" t="s">
        <v>21</v>
      </c>
      <c r="C103" s="43" t="s">
        <v>12</v>
      </c>
      <c r="D103" s="44" t="s">
        <v>22</v>
      </c>
      <c r="E103" s="44" t="s">
        <v>23</v>
      </c>
      <c r="F103" s="44" t="s">
        <v>24</v>
      </c>
      <c r="G103" s="44" t="s">
        <v>25</v>
      </c>
      <c r="H103" s="44" t="s">
        <v>26</v>
      </c>
      <c r="I103" s="44" t="s">
        <v>27</v>
      </c>
      <c r="J103" s="44" t="s">
        <v>28</v>
      </c>
      <c r="K103" s="43">
        <v>37999</v>
      </c>
      <c r="L103" s="43" t="s">
        <v>177</v>
      </c>
      <c r="M103" s="43" t="s">
        <v>178</v>
      </c>
      <c r="N103" s="43">
        <v>0.1</v>
      </c>
      <c r="O103" s="43">
        <v>0.09</v>
      </c>
      <c r="P103" s="43">
        <v>0.11</v>
      </c>
      <c r="Q103" s="43">
        <v>0.1</v>
      </c>
      <c r="R103" s="43">
        <v>0.14000000000000001</v>
      </c>
      <c r="S103" s="43">
        <v>0.13</v>
      </c>
      <c r="T103" s="43">
        <v>0.12</v>
      </c>
    </row>
  </sheetData>
  <pageMargins left="0.7" right="0.7" top="0.75" bottom="0.75" header="0.3" footer="0.3"/>
  <headerFooter>
    <oddFooter>&amp;L_x000D_&amp;1#&amp;"Aptos"&amp;10&amp;K000000 Collins Foods - Sensitive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86E5-8A76-47AD-96AA-2DBF0C26435F}">
  <dimension ref="A1:AX105"/>
  <sheetViews>
    <sheetView workbookViewId="0">
      <selection activeCell="B102" sqref="B102"/>
    </sheetView>
  </sheetViews>
  <sheetFormatPr defaultRowHeight="15"/>
  <sheetData>
    <row r="1" spans="1:50">
      <c r="A1" s="43" t="s">
        <v>179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</row>
    <row r="2" spans="1:50">
      <c r="A2" s="43"/>
      <c r="B2" s="43"/>
      <c r="C2" s="43" t="s">
        <v>180</v>
      </c>
      <c r="D2" s="43" t="s">
        <v>180</v>
      </c>
      <c r="E2" s="94">
        <v>46209</v>
      </c>
      <c r="F2" s="43" t="s">
        <v>180</v>
      </c>
      <c r="G2" s="43" t="s">
        <v>180</v>
      </c>
      <c r="H2" s="43"/>
      <c r="I2" s="43"/>
      <c r="J2" s="43" t="s">
        <v>180</v>
      </c>
      <c r="K2" s="43" t="s">
        <v>180</v>
      </c>
      <c r="L2" s="94">
        <v>46210</v>
      </c>
      <c r="M2" s="43" t="s">
        <v>180</v>
      </c>
      <c r="N2" s="43" t="s">
        <v>180</v>
      </c>
      <c r="O2" s="43"/>
      <c r="P2" s="43"/>
      <c r="Q2" s="43" t="s">
        <v>180</v>
      </c>
      <c r="R2" s="43" t="s">
        <v>180</v>
      </c>
      <c r="S2" s="94">
        <v>46211</v>
      </c>
      <c r="T2" s="94">
        <v>46204</v>
      </c>
      <c r="U2" s="43" t="s">
        <v>180</v>
      </c>
      <c r="V2" s="43"/>
      <c r="W2" s="43"/>
      <c r="X2" s="43" t="s">
        <v>180</v>
      </c>
      <c r="Y2" s="43" t="s">
        <v>180</v>
      </c>
      <c r="Z2" s="94">
        <v>46212</v>
      </c>
      <c r="AA2" s="94">
        <v>46205</v>
      </c>
      <c r="AB2" s="43" t="s">
        <v>180</v>
      </c>
      <c r="AC2" s="43"/>
      <c r="AD2" s="43"/>
      <c r="AE2" s="43" t="s">
        <v>180</v>
      </c>
      <c r="AF2" s="43" t="s">
        <v>180</v>
      </c>
      <c r="AG2" s="43" t="s">
        <v>180</v>
      </c>
      <c r="AH2" s="94">
        <v>46206</v>
      </c>
      <c r="AI2" s="43" t="s">
        <v>180</v>
      </c>
      <c r="AJ2" s="43"/>
      <c r="AK2" s="43"/>
      <c r="AL2" s="43" t="s">
        <v>180</v>
      </c>
      <c r="AM2" s="43" t="s">
        <v>180</v>
      </c>
      <c r="AN2" s="43" t="s">
        <v>180</v>
      </c>
      <c r="AO2" s="94">
        <v>46207</v>
      </c>
      <c r="AP2" s="43" t="s">
        <v>180</v>
      </c>
      <c r="AQ2" s="43"/>
      <c r="AR2" s="43"/>
      <c r="AS2" s="43" t="s">
        <v>180</v>
      </c>
      <c r="AT2" s="43" t="s">
        <v>180</v>
      </c>
      <c r="AU2" s="94">
        <v>46208</v>
      </c>
      <c r="AV2" s="43" t="s">
        <v>180</v>
      </c>
      <c r="AW2" s="43" t="s">
        <v>180</v>
      </c>
      <c r="AX2" s="43"/>
    </row>
    <row r="3" spans="1:50">
      <c r="A3" s="43"/>
      <c r="B3" s="43"/>
      <c r="C3" s="43" t="s">
        <v>181</v>
      </c>
      <c r="D3" s="43" t="s">
        <v>181</v>
      </c>
      <c r="E3" s="43" t="s">
        <v>181</v>
      </c>
      <c r="F3" s="43" t="s">
        <v>181</v>
      </c>
      <c r="G3" s="43" t="s">
        <v>181</v>
      </c>
      <c r="H3" s="43" t="s">
        <v>182</v>
      </c>
      <c r="I3" s="43"/>
      <c r="J3" s="43" t="s">
        <v>183</v>
      </c>
      <c r="K3" s="43" t="s">
        <v>183</v>
      </c>
      <c r="L3" s="43" t="s">
        <v>183</v>
      </c>
      <c r="M3" s="43" t="s">
        <v>183</v>
      </c>
      <c r="N3" s="43" t="s">
        <v>183</v>
      </c>
      <c r="O3" s="43" t="s">
        <v>184</v>
      </c>
      <c r="P3" s="43"/>
      <c r="Q3" s="43" t="s">
        <v>185</v>
      </c>
      <c r="R3" s="43" t="s">
        <v>185</v>
      </c>
      <c r="S3" s="43" t="s">
        <v>185</v>
      </c>
      <c r="T3" s="43" t="s">
        <v>185</v>
      </c>
      <c r="U3" s="43" t="s">
        <v>185</v>
      </c>
      <c r="V3" s="43" t="s">
        <v>186</v>
      </c>
      <c r="W3" s="43"/>
      <c r="X3" s="43" t="s">
        <v>187</v>
      </c>
      <c r="Y3" s="43" t="s">
        <v>187</v>
      </c>
      <c r="Z3" s="43" t="s">
        <v>187</v>
      </c>
      <c r="AA3" s="43" t="s">
        <v>187</v>
      </c>
      <c r="AB3" s="43" t="s">
        <v>187</v>
      </c>
      <c r="AC3" s="43" t="s">
        <v>188</v>
      </c>
      <c r="AD3" s="43"/>
      <c r="AE3" s="43" t="s">
        <v>189</v>
      </c>
      <c r="AF3" s="43" t="s">
        <v>189</v>
      </c>
      <c r="AG3" s="43" t="s">
        <v>189</v>
      </c>
      <c r="AH3" s="43" t="s">
        <v>189</v>
      </c>
      <c r="AI3" s="43" t="s">
        <v>189</v>
      </c>
      <c r="AJ3" s="43" t="s">
        <v>190</v>
      </c>
      <c r="AK3" s="43"/>
      <c r="AL3" s="43" t="s">
        <v>191</v>
      </c>
      <c r="AM3" s="43" t="s">
        <v>191</v>
      </c>
      <c r="AN3" s="43" t="s">
        <v>191</v>
      </c>
      <c r="AO3" s="43" t="s">
        <v>191</v>
      </c>
      <c r="AP3" s="43" t="s">
        <v>191</v>
      </c>
      <c r="AQ3" s="43" t="s">
        <v>192</v>
      </c>
      <c r="AR3" s="43"/>
      <c r="AS3" s="43" t="s">
        <v>193</v>
      </c>
      <c r="AT3" s="43" t="s">
        <v>193</v>
      </c>
      <c r="AU3" s="43" t="s">
        <v>193</v>
      </c>
      <c r="AV3" s="43" t="s">
        <v>193</v>
      </c>
      <c r="AW3" s="43" t="s">
        <v>193</v>
      </c>
      <c r="AX3" s="43" t="s">
        <v>194</v>
      </c>
    </row>
    <row r="4" spans="1:50">
      <c r="A4" s="43" t="s">
        <v>21</v>
      </c>
      <c r="B4" s="43" t="s">
        <v>11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</row>
    <row r="5" spans="1:50">
      <c r="A5" s="43">
        <v>100399</v>
      </c>
      <c r="B5" s="43" t="s">
        <v>81</v>
      </c>
      <c r="C5" s="43">
        <v>0</v>
      </c>
      <c r="D5" s="43">
        <v>0</v>
      </c>
      <c r="E5" s="43">
        <v>0.06</v>
      </c>
      <c r="F5" s="43">
        <v>0.06</v>
      </c>
      <c r="G5" s="43">
        <v>0</v>
      </c>
      <c r="H5" s="43">
        <v>0.02</v>
      </c>
      <c r="I5" s="43"/>
      <c r="J5" s="43">
        <v>0.06</v>
      </c>
      <c r="K5" s="43">
        <v>0.06</v>
      </c>
      <c r="L5" s="43">
        <v>0</v>
      </c>
      <c r="M5" s="43">
        <v>0.11</v>
      </c>
      <c r="N5" s="43">
        <v>0</v>
      </c>
      <c r="O5" s="43">
        <v>0.04</v>
      </c>
      <c r="P5" s="43"/>
      <c r="Q5" s="43">
        <v>0.11</v>
      </c>
      <c r="R5" s="43">
        <v>0.06</v>
      </c>
      <c r="S5" s="43">
        <v>0</v>
      </c>
      <c r="T5" s="43">
        <v>0.22</v>
      </c>
      <c r="U5" s="43">
        <v>0</v>
      </c>
      <c r="V5" s="43">
        <v>5.67E-2</v>
      </c>
      <c r="W5" s="43"/>
      <c r="X5" s="43">
        <v>0</v>
      </c>
      <c r="Y5" s="43">
        <v>0.11</v>
      </c>
      <c r="Z5" s="43">
        <v>0</v>
      </c>
      <c r="AA5" s="43">
        <v>0.06</v>
      </c>
      <c r="AB5" s="43">
        <v>0.11</v>
      </c>
      <c r="AC5" s="43">
        <v>5.67E-2</v>
      </c>
      <c r="AD5" s="43"/>
      <c r="AE5" s="43">
        <v>0</v>
      </c>
      <c r="AF5" s="43">
        <v>0.06</v>
      </c>
      <c r="AG5" s="43">
        <v>0</v>
      </c>
      <c r="AH5" s="43">
        <v>0.11</v>
      </c>
      <c r="AI5" s="43">
        <v>0.06</v>
      </c>
      <c r="AJ5" s="43">
        <v>0.04</v>
      </c>
      <c r="AK5" s="43"/>
      <c r="AL5" s="43">
        <v>0.06</v>
      </c>
      <c r="AM5" s="43">
        <v>0.28000000000000003</v>
      </c>
      <c r="AN5" s="43">
        <v>0.11</v>
      </c>
      <c r="AO5" s="43">
        <v>0.17</v>
      </c>
      <c r="AP5" s="43">
        <v>0.06</v>
      </c>
      <c r="AQ5" s="43">
        <v>0.1133</v>
      </c>
      <c r="AR5" s="43"/>
      <c r="AS5" s="43">
        <v>0.06</v>
      </c>
      <c r="AT5" s="43">
        <v>0.11</v>
      </c>
      <c r="AU5" s="43">
        <v>0.06</v>
      </c>
      <c r="AV5" s="43">
        <v>0.11</v>
      </c>
      <c r="AW5" s="43">
        <v>0</v>
      </c>
      <c r="AX5" s="43">
        <v>7.6700000000000004E-2</v>
      </c>
    </row>
    <row r="6" spans="1:50">
      <c r="A6" s="43">
        <v>100400</v>
      </c>
      <c r="B6" s="43" t="s">
        <v>83</v>
      </c>
      <c r="C6" s="43">
        <v>0</v>
      </c>
      <c r="D6" s="43">
        <v>0.08</v>
      </c>
      <c r="E6" s="43">
        <v>0.08</v>
      </c>
      <c r="F6" s="43">
        <v>0.08</v>
      </c>
      <c r="G6" s="43">
        <v>0.08</v>
      </c>
      <c r="H6" s="43">
        <v>0.08</v>
      </c>
      <c r="I6" s="43"/>
      <c r="J6" s="43">
        <v>0.04</v>
      </c>
      <c r="K6" s="43">
        <v>0.08</v>
      </c>
      <c r="L6" s="43">
        <v>0.04</v>
      </c>
      <c r="M6" s="43">
        <v>0</v>
      </c>
      <c r="N6" s="43">
        <v>0.08</v>
      </c>
      <c r="O6" s="43">
        <v>5.33E-2</v>
      </c>
      <c r="P6" s="43"/>
      <c r="Q6" s="43">
        <v>0.08</v>
      </c>
      <c r="R6" s="43">
        <v>0</v>
      </c>
      <c r="S6" s="43">
        <v>0.04</v>
      </c>
      <c r="T6" s="43">
        <v>0</v>
      </c>
      <c r="U6" s="43">
        <v>0.08</v>
      </c>
      <c r="V6" s="43">
        <v>0.04</v>
      </c>
      <c r="W6" s="43"/>
      <c r="X6" s="43">
        <v>0.08</v>
      </c>
      <c r="Y6" s="43">
        <v>0</v>
      </c>
      <c r="Z6" s="43">
        <v>0.08</v>
      </c>
      <c r="AA6" s="43">
        <v>0.08</v>
      </c>
      <c r="AB6" s="43">
        <v>0.04</v>
      </c>
      <c r="AC6" s="43">
        <v>6.6699999999999995E-2</v>
      </c>
      <c r="AD6" s="43"/>
      <c r="AE6" s="43">
        <v>0.13</v>
      </c>
      <c r="AF6" s="43">
        <v>0.13</v>
      </c>
      <c r="AG6" s="43">
        <v>0.13</v>
      </c>
      <c r="AH6" s="43">
        <v>0.17</v>
      </c>
      <c r="AI6" s="43">
        <v>0.04</v>
      </c>
      <c r="AJ6" s="43">
        <v>0.13</v>
      </c>
      <c r="AK6" s="43"/>
      <c r="AL6" s="43">
        <v>0.13</v>
      </c>
      <c r="AM6" s="43">
        <v>0.17</v>
      </c>
      <c r="AN6" s="43">
        <v>0</v>
      </c>
      <c r="AO6" s="43">
        <v>0.04</v>
      </c>
      <c r="AP6" s="43">
        <v>0.08</v>
      </c>
      <c r="AQ6" s="43">
        <v>8.3299999999999999E-2</v>
      </c>
      <c r="AR6" s="43"/>
      <c r="AS6" s="43">
        <v>0.08</v>
      </c>
      <c r="AT6" s="43">
        <v>0.08</v>
      </c>
      <c r="AU6" s="43">
        <v>0.04</v>
      </c>
      <c r="AV6" s="43">
        <v>0.04</v>
      </c>
      <c r="AW6" s="43">
        <v>0</v>
      </c>
      <c r="AX6" s="43">
        <v>5.33E-2</v>
      </c>
    </row>
    <row r="7" spans="1:50">
      <c r="A7" s="43">
        <v>100401</v>
      </c>
      <c r="B7" s="43" t="s">
        <v>84</v>
      </c>
      <c r="C7" s="43">
        <v>0</v>
      </c>
      <c r="D7" s="43">
        <v>0</v>
      </c>
      <c r="E7" s="43">
        <v>0.13</v>
      </c>
      <c r="F7" s="43">
        <v>0</v>
      </c>
      <c r="G7" s="43">
        <v>0</v>
      </c>
      <c r="H7" s="43">
        <v>0</v>
      </c>
      <c r="I7" s="43"/>
      <c r="J7" s="43">
        <v>0.04</v>
      </c>
      <c r="K7" s="43">
        <v>0</v>
      </c>
      <c r="L7" s="43">
        <v>0.04</v>
      </c>
      <c r="M7" s="43">
        <v>0</v>
      </c>
      <c r="N7" s="43">
        <v>0</v>
      </c>
      <c r="O7" s="43">
        <v>1.3299999999999999E-2</v>
      </c>
      <c r="P7" s="43"/>
      <c r="Q7" s="43">
        <v>0.04</v>
      </c>
      <c r="R7" s="43">
        <v>0</v>
      </c>
      <c r="S7" s="43">
        <v>0.04</v>
      </c>
      <c r="T7" s="43">
        <v>0</v>
      </c>
      <c r="U7" s="43">
        <v>0.04</v>
      </c>
      <c r="V7" s="43">
        <v>2.6700000000000002E-2</v>
      </c>
      <c r="W7" s="43"/>
      <c r="X7" s="43">
        <v>0</v>
      </c>
      <c r="Y7" s="43">
        <v>0</v>
      </c>
      <c r="Z7" s="43">
        <v>0.04</v>
      </c>
      <c r="AA7" s="43">
        <v>0.04</v>
      </c>
      <c r="AB7" s="43">
        <v>0.04</v>
      </c>
      <c r="AC7" s="43">
        <v>2.6700000000000002E-2</v>
      </c>
      <c r="AD7" s="43"/>
      <c r="AE7" s="43">
        <v>0.04</v>
      </c>
      <c r="AF7" s="43">
        <v>0.13</v>
      </c>
      <c r="AG7" s="43">
        <v>0.08</v>
      </c>
      <c r="AH7" s="43">
        <v>0.08</v>
      </c>
      <c r="AI7" s="43">
        <v>0.04</v>
      </c>
      <c r="AJ7" s="43">
        <v>6.6699999999999995E-2</v>
      </c>
      <c r="AK7" s="43"/>
      <c r="AL7" s="43">
        <v>0</v>
      </c>
      <c r="AM7" s="43">
        <v>0</v>
      </c>
      <c r="AN7" s="43">
        <v>0</v>
      </c>
      <c r="AO7" s="43">
        <v>0</v>
      </c>
      <c r="AP7" s="43">
        <v>0.04</v>
      </c>
      <c r="AQ7" s="43">
        <v>0</v>
      </c>
      <c r="AR7" s="43"/>
      <c r="AS7" s="43">
        <v>0</v>
      </c>
      <c r="AT7" s="43">
        <v>0</v>
      </c>
      <c r="AU7" s="43">
        <v>0.04</v>
      </c>
      <c r="AV7" s="43">
        <v>0</v>
      </c>
      <c r="AW7" s="43">
        <v>0.04</v>
      </c>
      <c r="AX7" s="43">
        <v>1.3299999999999999E-2</v>
      </c>
    </row>
    <row r="8" spans="1:50">
      <c r="A8" s="43">
        <v>100402</v>
      </c>
      <c r="B8" s="43" t="s">
        <v>107</v>
      </c>
      <c r="C8" s="43">
        <v>0.04</v>
      </c>
      <c r="D8" s="43">
        <v>0.08</v>
      </c>
      <c r="E8" s="43">
        <v>0</v>
      </c>
      <c r="F8" s="43"/>
      <c r="G8" s="43">
        <v>0.04</v>
      </c>
      <c r="H8" s="43">
        <v>2.6700000000000002E-2</v>
      </c>
      <c r="I8" s="43"/>
      <c r="J8" s="43">
        <v>0</v>
      </c>
      <c r="K8" s="43">
        <v>0</v>
      </c>
      <c r="L8" s="43">
        <v>0.04</v>
      </c>
      <c r="M8" s="43"/>
      <c r="N8" s="43">
        <v>0.04</v>
      </c>
      <c r="O8" s="43">
        <v>1.3299999999999999E-2</v>
      </c>
      <c r="P8" s="43"/>
      <c r="Q8" s="43">
        <v>0</v>
      </c>
      <c r="R8" s="43">
        <v>0.08</v>
      </c>
      <c r="S8" s="43">
        <v>0.08</v>
      </c>
      <c r="T8" s="43"/>
      <c r="U8" s="43">
        <v>0</v>
      </c>
      <c r="V8" s="43">
        <v>2.6700000000000002E-2</v>
      </c>
      <c r="W8" s="43"/>
      <c r="X8" s="43">
        <v>0</v>
      </c>
      <c r="Y8" s="43">
        <v>0.08</v>
      </c>
      <c r="Z8" s="43">
        <v>0.08</v>
      </c>
      <c r="AA8" s="43"/>
      <c r="AB8" s="43">
        <v>0.04</v>
      </c>
      <c r="AC8" s="43">
        <v>0.04</v>
      </c>
      <c r="AD8" s="43"/>
      <c r="AE8" s="43">
        <v>0.17</v>
      </c>
      <c r="AF8" s="43">
        <v>0.13</v>
      </c>
      <c r="AG8" s="43">
        <v>0</v>
      </c>
      <c r="AH8" s="43"/>
      <c r="AI8" s="43">
        <v>0</v>
      </c>
      <c r="AJ8" s="43">
        <v>4.3299999999999998E-2</v>
      </c>
      <c r="AK8" s="43"/>
      <c r="AL8" s="43">
        <v>0.08</v>
      </c>
      <c r="AM8" s="43">
        <v>0</v>
      </c>
      <c r="AN8" s="43">
        <v>0</v>
      </c>
      <c r="AO8" s="43"/>
      <c r="AP8" s="43">
        <v>0</v>
      </c>
      <c r="AQ8" s="43">
        <v>0</v>
      </c>
      <c r="AR8" s="43"/>
      <c r="AS8" s="43">
        <v>0</v>
      </c>
      <c r="AT8" s="43">
        <v>0.04</v>
      </c>
      <c r="AU8" s="43">
        <v>0.04</v>
      </c>
      <c r="AV8" s="43"/>
      <c r="AW8" s="43">
        <v>0.08</v>
      </c>
      <c r="AX8" s="43">
        <v>2.6700000000000002E-2</v>
      </c>
    </row>
    <row r="9" spans="1:50">
      <c r="A9" s="43">
        <v>100403</v>
      </c>
      <c r="B9" s="43" t="s">
        <v>96</v>
      </c>
      <c r="C9" s="43">
        <v>0.13</v>
      </c>
      <c r="D9" s="43">
        <v>0.04</v>
      </c>
      <c r="E9" s="43">
        <v>0.13</v>
      </c>
      <c r="F9" s="43">
        <v>0</v>
      </c>
      <c r="G9" s="43">
        <v>0.08</v>
      </c>
      <c r="H9" s="43">
        <v>8.3299999999999999E-2</v>
      </c>
      <c r="I9" s="43"/>
      <c r="J9" s="43">
        <v>0.04</v>
      </c>
      <c r="K9" s="43">
        <v>0.13</v>
      </c>
      <c r="L9" s="43">
        <v>0.04</v>
      </c>
      <c r="M9" s="43">
        <v>0.04</v>
      </c>
      <c r="N9" s="43">
        <v>0</v>
      </c>
      <c r="O9" s="43">
        <v>0.04</v>
      </c>
      <c r="P9" s="43"/>
      <c r="Q9" s="43">
        <v>0.21</v>
      </c>
      <c r="R9" s="43">
        <v>0.04</v>
      </c>
      <c r="S9" s="43">
        <v>0.08</v>
      </c>
      <c r="T9" s="43">
        <v>0.04</v>
      </c>
      <c r="U9" s="43">
        <v>0</v>
      </c>
      <c r="V9" s="43">
        <v>5.33E-2</v>
      </c>
      <c r="W9" s="43"/>
      <c r="X9" s="43">
        <v>0</v>
      </c>
      <c r="Y9" s="43">
        <v>0.08</v>
      </c>
      <c r="Z9" s="43">
        <v>0.08</v>
      </c>
      <c r="AA9" s="43">
        <v>0.08</v>
      </c>
      <c r="AB9" s="43">
        <v>0.04</v>
      </c>
      <c r="AC9" s="43">
        <v>6.6699999999999995E-2</v>
      </c>
      <c r="AD9" s="43"/>
      <c r="AE9" s="43">
        <v>0.04</v>
      </c>
      <c r="AF9" s="43">
        <v>0.04</v>
      </c>
      <c r="AG9" s="43">
        <v>0</v>
      </c>
      <c r="AH9" s="43">
        <v>0.25</v>
      </c>
      <c r="AI9" s="43">
        <v>0</v>
      </c>
      <c r="AJ9" s="43">
        <v>2.6700000000000002E-2</v>
      </c>
      <c r="AK9" s="43"/>
      <c r="AL9" s="43">
        <v>0</v>
      </c>
      <c r="AM9" s="43">
        <v>0</v>
      </c>
      <c r="AN9" s="43">
        <v>0.04</v>
      </c>
      <c r="AO9" s="43">
        <v>0.08</v>
      </c>
      <c r="AP9" s="43">
        <v>0.13</v>
      </c>
      <c r="AQ9" s="43">
        <v>0.04</v>
      </c>
      <c r="AR9" s="43"/>
      <c r="AS9" s="43">
        <v>0.04</v>
      </c>
      <c r="AT9" s="43">
        <v>0.08</v>
      </c>
      <c r="AU9" s="43">
        <v>0.04</v>
      </c>
      <c r="AV9" s="43">
        <v>0</v>
      </c>
      <c r="AW9" s="43">
        <v>0.08</v>
      </c>
      <c r="AX9" s="43">
        <v>5.33E-2</v>
      </c>
    </row>
    <row r="10" spans="1:50">
      <c r="A10" s="43">
        <v>100404</v>
      </c>
      <c r="B10" s="43" t="s">
        <v>97</v>
      </c>
      <c r="C10" s="43">
        <v>0</v>
      </c>
      <c r="D10" s="43">
        <v>0</v>
      </c>
      <c r="E10" s="43">
        <v>0.04</v>
      </c>
      <c r="F10" s="43">
        <v>0</v>
      </c>
      <c r="G10" s="43">
        <v>0.04</v>
      </c>
      <c r="H10" s="43">
        <v>1.3299999999999999E-2</v>
      </c>
      <c r="I10" s="43"/>
      <c r="J10" s="43">
        <v>0</v>
      </c>
      <c r="K10" s="43">
        <v>0</v>
      </c>
      <c r="L10" s="43">
        <v>0.04</v>
      </c>
      <c r="M10" s="43">
        <v>0.04</v>
      </c>
      <c r="N10" s="43">
        <v>0.04</v>
      </c>
      <c r="O10" s="43">
        <v>2.6700000000000002E-2</v>
      </c>
      <c r="P10" s="43"/>
      <c r="Q10" s="43">
        <v>0.04</v>
      </c>
      <c r="R10" s="43">
        <v>0</v>
      </c>
      <c r="S10" s="43">
        <v>0.04</v>
      </c>
      <c r="T10" s="43">
        <v>0.04</v>
      </c>
      <c r="U10" s="43">
        <v>0</v>
      </c>
      <c r="V10" s="43">
        <v>2.6700000000000002E-2</v>
      </c>
      <c r="W10" s="43"/>
      <c r="X10" s="43">
        <v>0</v>
      </c>
      <c r="Y10" s="43">
        <v>0</v>
      </c>
      <c r="Z10" s="43">
        <v>0.04</v>
      </c>
      <c r="AA10" s="43">
        <v>0.04</v>
      </c>
      <c r="AB10" s="43">
        <v>0.13</v>
      </c>
      <c r="AC10" s="43">
        <v>2.6700000000000002E-2</v>
      </c>
      <c r="AD10" s="43"/>
      <c r="AE10" s="43">
        <v>0</v>
      </c>
      <c r="AF10" s="43">
        <v>0.04</v>
      </c>
      <c r="AG10" s="43">
        <v>0</v>
      </c>
      <c r="AH10" s="43">
        <v>0</v>
      </c>
      <c r="AI10" s="43">
        <v>0.04</v>
      </c>
      <c r="AJ10" s="43">
        <v>1.3299999999999999E-2</v>
      </c>
      <c r="AK10" s="43"/>
      <c r="AL10" s="43">
        <v>0</v>
      </c>
      <c r="AM10" s="43">
        <v>0.08</v>
      </c>
      <c r="AN10" s="43">
        <v>0.04</v>
      </c>
      <c r="AO10" s="43">
        <v>0.04</v>
      </c>
      <c r="AP10" s="43">
        <v>0</v>
      </c>
      <c r="AQ10" s="43">
        <v>2.6700000000000002E-2</v>
      </c>
      <c r="AR10" s="43"/>
      <c r="AS10" s="43">
        <v>0.04</v>
      </c>
      <c r="AT10" s="43">
        <v>0</v>
      </c>
      <c r="AU10" s="43">
        <v>0</v>
      </c>
      <c r="AV10" s="43">
        <v>0.08</v>
      </c>
      <c r="AW10" s="43">
        <v>0</v>
      </c>
      <c r="AX10" s="43">
        <v>1.3299999999999999E-2</v>
      </c>
    </row>
    <row r="11" spans="1:50">
      <c r="A11" s="43">
        <v>100405</v>
      </c>
      <c r="B11" s="43" t="s">
        <v>98</v>
      </c>
      <c r="C11" s="43">
        <v>0.25</v>
      </c>
      <c r="D11" s="43">
        <v>0</v>
      </c>
      <c r="E11" s="43">
        <v>0</v>
      </c>
      <c r="F11" s="43">
        <v>0</v>
      </c>
      <c r="G11" s="43">
        <v>0.08</v>
      </c>
      <c r="H11" s="43">
        <v>2.6700000000000002E-2</v>
      </c>
      <c r="I11" s="43"/>
      <c r="J11" s="43">
        <v>0</v>
      </c>
      <c r="K11" s="43">
        <v>0.33</v>
      </c>
      <c r="L11" s="43">
        <v>0</v>
      </c>
      <c r="M11" s="43">
        <v>0.08</v>
      </c>
      <c r="N11" s="43">
        <v>0.17</v>
      </c>
      <c r="O11" s="43">
        <v>8.3299999999999999E-2</v>
      </c>
      <c r="P11" s="43"/>
      <c r="Q11" s="43">
        <v>0.08</v>
      </c>
      <c r="R11" s="43">
        <v>0.08</v>
      </c>
      <c r="S11" s="43">
        <v>0.08</v>
      </c>
      <c r="T11" s="43">
        <v>0.08</v>
      </c>
      <c r="U11" s="43">
        <v>0</v>
      </c>
      <c r="V11" s="43">
        <v>0.08</v>
      </c>
      <c r="W11" s="43"/>
      <c r="X11" s="43">
        <v>0</v>
      </c>
      <c r="Y11" s="43">
        <v>0</v>
      </c>
      <c r="Z11" s="43">
        <v>0.17</v>
      </c>
      <c r="AA11" s="43">
        <v>0.17</v>
      </c>
      <c r="AB11" s="43">
        <v>0</v>
      </c>
      <c r="AC11" s="43">
        <v>5.67E-2</v>
      </c>
      <c r="AD11" s="43"/>
      <c r="AE11" s="43">
        <v>0.08</v>
      </c>
      <c r="AF11" s="43">
        <v>0</v>
      </c>
      <c r="AG11" s="43">
        <v>0</v>
      </c>
      <c r="AH11" s="43">
        <v>0</v>
      </c>
      <c r="AI11" s="43">
        <v>0.08</v>
      </c>
      <c r="AJ11" s="43">
        <v>2.6700000000000002E-2</v>
      </c>
      <c r="AK11" s="43"/>
      <c r="AL11" s="43">
        <v>0.17</v>
      </c>
      <c r="AM11" s="43">
        <v>0.08</v>
      </c>
      <c r="AN11" s="43">
        <v>0.08</v>
      </c>
      <c r="AO11" s="43">
        <v>0.08</v>
      </c>
      <c r="AP11" s="43">
        <v>0.08</v>
      </c>
      <c r="AQ11" s="43">
        <v>0.08</v>
      </c>
      <c r="AR11" s="43"/>
      <c r="AS11" s="43">
        <v>0.08</v>
      </c>
      <c r="AT11" s="43">
        <v>0.08</v>
      </c>
      <c r="AU11" s="43">
        <v>0.33</v>
      </c>
      <c r="AV11" s="43">
        <v>0</v>
      </c>
      <c r="AW11" s="43">
        <v>0.17</v>
      </c>
      <c r="AX11" s="43">
        <v>0.11</v>
      </c>
    </row>
    <row r="12" spans="1:50">
      <c r="A12" s="43">
        <v>100457</v>
      </c>
      <c r="B12" s="43" t="s">
        <v>145</v>
      </c>
      <c r="C12" s="43">
        <v>0.04</v>
      </c>
      <c r="D12" s="43">
        <v>0.03</v>
      </c>
      <c r="E12" s="43">
        <v>7.0000000000000007E-2</v>
      </c>
      <c r="F12" s="43">
        <v>0.04</v>
      </c>
      <c r="G12" s="43">
        <v>0.04</v>
      </c>
      <c r="H12" s="43">
        <v>0.04</v>
      </c>
      <c r="I12" s="43"/>
      <c r="J12" s="43">
        <v>0.1</v>
      </c>
      <c r="K12" s="43">
        <v>0.04</v>
      </c>
      <c r="L12" s="43">
        <v>0.05</v>
      </c>
      <c r="M12" s="43">
        <v>0.05</v>
      </c>
      <c r="N12" s="43">
        <v>0.05</v>
      </c>
      <c r="O12" s="43">
        <v>0.05</v>
      </c>
      <c r="P12" s="43"/>
      <c r="Q12" s="43">
        <v>7.0000000000000007E-2</v>
      </c>
      <c r="R12" s="43">
        <v>0.06</v>
      </c>
      <c r="S12" s="43">
        <v>0.05</v>
      </c>
      <c r="T12" s="43">
        <v>0.06</v>
      </c>
      <c r="U12" s="43">
        <v>0.02</v>
      </c>
      <c r="V12" s="43">
        <v>5.67E-2</v>
      </c>
      <c r="W12" s="43"/>
      <c r="X12" s="43">
        <v>0.05</v>
      </c>
      <c r="Y12" s="43">
        <v>7.0000000000000007E-2</v>
      </c>
      <c r="Z12" s="43">
        <v>0.1</v>
      </c>
      <c r="AA12" s="43">
        <v>0.09</v>
      </c>
      <c r="AB12" s="43">
        <v>0.05</v>
      </c>
      <c r="AC12" s="43">
        <v>7.0000000000000007E-2</v>
      </c>
      <c r="AD12" s="43"/>
      <c r="AE12" s="43">
        <v>0.08</v>
      </c>
      <c r="AF12" s="43">
        <v>0.03</v>
      </c>
      <c r="AG12" s="43">
        <v>0.09</v>
      </c>
      <c r="AH12" s="43">
        <v>0.1</v>
      </c>
      <c r="AI12" s="43">
        <v>7.0000000000000007E-2</v>
      </c>
      <c r="AJ12" s="43">
        <v>0.08</v>
      </c>
      <c r="AK12" s="43"/>
      <c r="AL12" s="43">
        <v>0.09</v>
      </c>
      <c r="AM12" s="43">
        <v>0.08</v>
      </c>
      <c r="AN12" s="43">
        <v>0.05</v>
      </c>
      <c r="AO12" s="43">
        <v>0.11</v>
      </c>
      <c r="AP12" s="43">
        <v>0.05</v>
      </c>
      <c r="AQ12" s="43">
        <v>7.3300000000000004E-2</v>
      </c>
      <c r="AR12" s="43"/>
      <c r="AS12" s="43">
        <v>0.03</v>
      </c>
      <c r="AT12" s="43">
        <v>0.03</v>
      </c>
      <c r="AU12" s="43">
        <v>0.04</v>
      </c>
      <c r="AV12" s="43">
        <v>0.04</v>
      </c>
      <c r="AW12" s="43">
        <v>0.06</v>
      </c>
      <c r="AX12" s="43">
        <v>3.6700000000000003E-2</v>
      </c>
    </row>
    <row r="13" spans="1:50">
      <c r="A13" s="43">
        <v>106191</v>
      </c>
      <c r="B13" s="43" t="s">
        <v>137</v>
      </c>
      <c r="C13" s="43">
        <v>0.01</v>
      </c>
      <c r="D13" s="43">
        <v>0.02</v>
      </c>
      <c r="E13" s="43">
        <v>0.02</v>
      </c>
      <c r="F13" s="43">
        <v>0.01</v>
      </c>
      <c r="G13" s="43">
        <v>0.01</v>
      </c>
      <c r="H13" s="43">
        <v>1.3299999999999999E-2</v>
      </c>
      <c r="I13" s="43"/>
      <c r="J13" s="43">
        <v>0.02</v>
      </c>
      <c r="K13" s="43">
        <v>0.03</v>
      </c>
      <c r="L13" s="43">
        <v>0.04</v>
      </c>
      <c r="M13" s="43">
        <v>0.02</v>
      </c>
      <c r="N13" s="43">
        <v>0.01</v>
      </c>
      <c r="O13" s="43">
        <v>2.3300000000000001E-2</v>
      </c>
      <c r="P13" s="43"/>
      <c r="Q13" s="43">
        <v>0.01</v>
      </c>
      <c r="R13" s="43">
        <v>0.02</v>
      </c>
      <c r="S13" s="43">
        <v>0.02</v>
      </c>
      <c r="T13" s="43">
        <v>0.02</v>
      </c>
      <c r="U13" s="43">
        <v>0</v>
      </c>
      <c r="V13" s="43">
        <v>1.67E-2</v>
      </c>
      <c r="W13" s="43"/>
      <c r="X13" s="43">
        <v>0.03</v>
      </c>
      <c r="Y13" s="43">
        <v>0.02</v>
      </c>
      <c r="Z13" s="43">
        <v>0.01</v>
      </c>
      <c r="AA13" s="43">
        <v>0.04</v>
      </c>
      <c r="AB13" s="43">
        <v>0.02</v>
      </c>
      <c r="AC13" s="43">
        <v>2.3300000000000001E-2</v>
      </c>
      <c r="AD13" s="43"/>
      <c r="AE13" s="43">
        <v>0.02</v>
      </c>
      <c r="AF13" s="43">
        <v>0.02</v>
      </c>
      <c r="AG13" s="43">
        <v>0.01</v>
      </c>
      <c r="AH13" s="43">
        <v>0.03</v>
      </c>
      <c r="AI13" s="43">
        <v>0.03</v>
      </c>
      <c r="AJ13" s="43">
        <v>2.3300000000000001E-2</v>
      </c>
      <c r="AK13" s="43"/>
      <c r="AL13" s="43">
        <v>0.01</v>
      </c>
      <c r="AM13" s="43">
        <v>0.02</v>
      </c>
      <c r="AN13" s="43">
        <v>0.02</v>
      </c>
      <c r="AO13" s="43">
        <v>0</v>
      </c>
      <c r="AP13" s="43">
        <v>0.05</v>
      </c>
      <c r="AQ13" s="43">
        <v>1.67E-2</v>
      </c>
      <c r="AR13" s="43"/>
      <c r="AS13" s="43">
        <v>0.04</v>
      </c>
      <c r="AT13" s="43">
        <v>0</v>
      </c>
      <c r="AU13" s="43">
        <v>0.01</v>
      </c>
      <c r="AV13" s="43">
        <v>0.02</v>
      </c>
      <c r="AW13" s="43">
        <v>0</v>
      </c>
      <c r="AX13" s="43">
        <v>0.01</v>
      </c>
    </row>
    <row r="14" spans="1:50">
      <c r="A14" s="43">
        <v>106431</v>
      </c>
      <c r="B14" s="43" t="s">
        <v>29</v>
      </c>
      <c r="C14" s="43">
        <v>0.02</v>
      </c>
      <c r="D14" s="43">
        <v>0.02</v>
      </c>
      <c r="E14" s="43">
        <v>0.02</v>
      </c>
      <c r="F14" s="43">
        <v>0.01</v>
      </c>
      <c r="G14" s="43">
        <v>0.01</v>
      </c>
      <c r="H14" s="43">
        <v>1.67E-2</v>
      </c>
      <c r="I14" s="43"/>
      <c r="J14" s="43">
        <v>0.02</v>
      </c>
      <c r="K14" s="43">
        <v>0.03</v>
      </c>
      <c r="L14" s="43">
        <v>0.03</v>
      </c>
      <c r="M14" s="43">
        <v>0.02</v>
      </c>
      <c r="N14" s="43">
        <v>0.02</v>
      </c>
      <c r="O14" s="43">
        <v>2.3300000000000001E-2</v>
      </c>
      <c r="P14" s="43"/>
      <c r="Q14" s="43">
        <v>0.03</v>
      </c>
      <c r="R14" s="43">
        <v>0.03</v>
      </c>
      <c r="S14" s="43">
        <v>0.01</v>
      </c>
      <c r="T14" s="43">
        <v>0.02</v>
      </c>
      <c r="U14" s="43">
        <v>0.02</v>
      </c>
      <c r="V14" s="43">
        <v>2.3300000000000001E-2</v>
      </c>
      <c r="W14" s="43"/>
      <c r="X14" s="43">
        <v>0.04</v>
      </c>
      <c r="Y14" s="43">
        <v>0.02</v>
      </c>
      <c r="Z14" s="43">
        <v>0.03</v>
      </c>
      <c r="AA14" s="43">
        <v>0.01</v>
      </c>
      <c r="AB14" s="43">
        <v>0.02</v>
      </c>
      <c r="AC14" s="43">
        <v>2.3300000000000001E-2</v>
      </c>
      <c r="AD14" s="43"/>
      <c r="AE14" s="43">
        <v>0.03</v>
      </c>
      <c r="AF14" s="43">
        <v>0.02</v>
      </c>
      <c r="AG14" s="43">
        <v>0.03</v>
      </c>
      <c r="AH14" s="43">
        <v>0.04</v>
      </c>
      <c r="AI14" s="43">
        <v>0.02</v>
      </c>
      <c r="AJ14" s="43">
        <v>2.6700000000000002E-2</v>
      </c>
      <c r="AK14" s="43"/>
      <c r="AL14" s="43">
        <v>0.02</v>
      </c>
      <c r="AM14" s="43">
        <v>0.02</v>
      </c>
      <c r="AN14" s="43">
        <v>0.04</v>
      </c>
      <c r="AO14" s="43">
        <v>0.03</v>
      </c>
      <c r="AP14" s="43">
        <v>0.02</v>
      </c>
      <c r="AQ14" s="43">
        <v>2.3300000000000001E-2</v>
      </c>
      <c r="AR14" s="43"/>
      <c r="AS14" s="43">
        <v>0.02</v>
      </c>
      <c r="AT14" s="43">
        <v>0.02</v>
      </c>
      <c r="AU14" s="43">
        <v>0.03</v>
      </c>
      <c r="AV14" s="43">
        <v>0.01</v>
      </c>
      <c r="AW14" s="43">
        <v>0.01</v>
      </c>
      <c r="AX14" s="43">
        <v>1.67E-2</v>
      </c>
    </row>
    <row r="15" spans="1:50">
      <c r="A15" s="43">
        <v>106491</v>
      </c>
      <c r="B15" s="43" t="s">
        <v>31</v>
      </c>
      <c r="C15" s="43">
        <v>0.5</v>
      </c>
      <c r="D15" s="43">
        <v>0.34</v>
      </c>
      <c r="E15" s="43">
        <v>0.24</v>
      </c>
      <c r="F15" s="43">
        <v>0.14000000000000001</v>
      </c>
      <c r="G15" s="43">
        <v>0.22</v>
      </c>
      <c r="H15" s="43">
        <v>0.26669999999999999</v>
      </c>
      <c r="I15" s="43"/>
      <c r="J15" s="43">
        <v>0.34</v>
      </c>
      <c r="K15" s="43">
        <v>0.46</v>
      </c>
      <c r="L15" s="43">
        <v>0.54</v>
      </c>
      <c r="M15" s="43">
        <v>0.36</v>
      </c>
      <c r="N15" s="43">
        <v>0.3</v>
      </c>
      <c r="O15" s="43">
        <v>0.38669999999999999</v>
      </c>
      <c r="P15" s="43"/>
      <c r="Q15" s="43">
        <v>0.48</v>
      </c>
      <c r="R15" s="43">
        <v>0.64</v>
      </c>
      <c r="S15" s="43">
        <v>0.3</v>
      </c>
      <c r="T15" s="43">
        <v>0.38</v>
      </c>
      <c r="U15" s="43">
        <v>0.42</v>
      </c>
      <c r="V15" s="43">
        <v>0.42670000000000002</v>
      </c>
      <c r="W15" s="43"/>
      <c r="X15" s="43">
        <v>0.76</v>
      </c>
      <c r="Y15" s="43">
        <v>0.5</v>
      </c>
      <c r="Z15" s="43">
        <v>0.42</v>
      </c>
      <c r="AA15" s="43">
        <v>0.38</v>
      </c>
      <c r="AB15" s="43">
        <v>0.42</v>
      </c>
      <c r="AC15" s="43">
        <v>0.44669999999999999</v>
      </c>
      <c r="AD15" s="43"/>
      <c r="AE15" s="43">
        <v>0.54</v>
      </c>
      <c r="AF15" s="43">
        <v>0.62</v>
      </c>
      <c r="AG15" s="43">
        <v>0.38</v>
      </c>
      <c r="AH15" s="43">
        <v>0.6</v>
      </c>
      <c r="AI15" s="43">
        <v>0.48</v>
      </c>
      <c r="AJ15" s="43">
        <v>0.54</v>
      </c>
      <c r="AK15" s="43"/>
      <c r="AL15" s="43">
        <v>0.5</v>
      </c>
      <c r="AM15" s="43">
        <v>0.48</v>
      </c>
      <c r="AN15" s="43">
        <v>0.48</v>
      </c>
      <c r="AO15" s="43">
        <v>0.52</v>
      </c>
      <c r="AP15" s="43">
        <v>0.44</v>
      </c>
      <c r="AQ15" s="43">
        <v>0.48670000000000002</v>
      </c>
      <c r="AR15" s="43"/>
      <c r="AS15" s="43">
        <v>0.42</v>
      </c>
      <c r="AT15" s="43">
        <v>0.42</v>
      </c>
      <c r="AU15" s="43">
        <v>0.66</v>
      </c>
      <c r="AV15" s="43">
        <v>0.34</v>
      </c>
      <c r="AW15" s="43">
        <v>0.32</v>
      </c>
      <c r="AX15" s="43">
        <v>0.39329999999999998</v>
      </c>
    </row>
    <row r="16" spans="1:50">
      <c r="A16" s="43">
        <v>106551</v>
      </c>
      <c r="B16" s="43" t="s">
        <v>33</v>
      </c>
      <c r="C16" s="43">
        <v>0.5</v>
      </c>
      <c r="D16" s="43">
        <v>0.34</v>
      </c>
      <c r="E16" s="43">
        <v>0.24</v>
      </c>
      <c r="F16" s="43">
        <v>0.14000000000000001</v>
      </c>
      <c r="G16" s="43">
        <v>0.22</v>
      </c>
      <c r="H16" s="43">
        <v>0.26669999999999999</v>
      </c>
      <c r="I16" s="43"/>
      <c r="J16" s="43">
        <v>0.34</v>
      </c>
      <c r="K16" s="43">
        <v>0.46</v>
      </c>
      <c r="L16" s="43">
        <v>0.54</v>
      </c>
      <c r="M16" s="43">
        <v>0.36</v>
      </c>
      <c r="N16" s="43">
        <v>0.3</v>
      </c>
      <c r="O16" s="43">
        <v>0.38669999999999999</v>
      </c>
      <c r="P16" s="43"/>
      <c r="Q16" s="43">
        <v>0.48</v>
      </c>
      <c r="R16" s="43">
        <v>0.64</v>
      </c>
      <c r="S16" s="43">
        <v>0.3</v>
      </c>
      <c r="T16" s="43">
        <v>0.38</v>
      </c>
      <c r="U16" s="43">
        <v>0.42</v>
      </c>
      <c r="V16" s="43">
        <v>0.42670000000000002</v>
      </c>
      <c r="W16" s="43"/>
      <c r="X16" s="43">
        <v>0.76</v>
      </c>
      <c r="Y16" s="43">
        <v>0.5</v>
      </c>
      <c r="Z16" s="43">
        <v>0.42</v>
      </c>
      <c r="AA16" s="43">
        <v>0.38</v>
      </c>
      <c r="AB16" s="43">
        <v>0.42</v>
      </c>
      <c r="AC16" s="43">
        <v>0.44669999999999999</v>
      </c>
      <c r="AD16" s="43"/>
      <c r="AE16" s="43">
        <v>0.54</v>
      </c>
      <c r="AF16" s="43">
        <v>0.62</v>
      </c>
      <c r="AG16" s="43">
        <v>0.38</v>
      </c>
      <c r="AH16" s="43">
        <v>0.6</v>
      </c>
      <c r="AI16" s="43">
        <v>0.48</v>
      </c>
      <c r="AJ16" s="43">
        <v>0.54</v>
      </c>
      <c r="AK16" s="43"/>
      <c r="AL16" s="43">
        <v>0.5</v>
      </c>
      <c r="AM16" s="43">
        <v>0.48</v>
      </c>
      <c r="AN16" s="43">
        <v>0.48</v>
      </c>
      <c r="AO16" s="43">
        <v>0.52</v>
      </c>
      <c r="AP16" s="43">
        <v>0.44</v>
      </c>
      <c r="AQ16" s="43">
        <v>0.48670000000000002</v>
      </c>
      <c r="AR16" s="43"/>
      <c r="AS16" s="43">
        <v>0.42</v>
      </c>
      <c r="AT16" s="43">
        <v>0.42</v>
      </c>
      <c r="AU16" s="43">
        <v>0.66</v>
      </c>
      <c r="AV16" s="43">
        <v>0.34</v>
      </c>
      <c r="AW16" s="43">
        <v>0.32</v>
      </c>
      <c r="AX16" s="43">
        <v>0.39329999999999998</v>
      </c>
    </row>
    <row r="17" spans="1:50">
      <c r="A17" s="43">
        <v>11172</v>
      </c>
      <c r="B17" s="43" t="s">
        <v>66</v>
      </c>
      <c r="C17" s="43">
        <v>7.0000000000000007E-2</v>
      </c>
      <c r="D17" s="43">
        <v>0.08</v>
      </c>
      <c r="E17" s="43">
        <v>0.1</v>
      </c>
      <c r="F17" s="43">
        <v>0.05</v>
      </c>
      <c r="G17" s="43">
        <v>0.06</v>
      </c>
      <c r="H17" s="43">
        <v>7.0000000000000007E-2</v>
      </c>
      <c r="I17" s="43"/>
      <c r="J17" s="43">
        <v>0.09</v>
      </c>
      <c r="K17" s="43">
        <v>0.06</v>
      </c>
      <c r="L17" s="43">
        <v>0.04</v>
      </c>
      <c r="M17" s="43">
        <v>0.05</v>
      </c>
      <c r="N17" s="43">
        <v>0.06</v>
      </c>
      <c r="O17" s="43">
        <v>5.67E-2</v>
      </c>
      <c r="P17" s="43"/>
      <c r="Q17" s="43">
        <v>0.03</v>
      </c>
      <c r="R17" s="43">
        <v>0.04</v>
      </c>
      <c r="S17" s="43">
        <v>0.03</v>
      </c>
      <c r="T17" s="43">
        <v>0.06</v>
      </c>
      <c r="U17" s="43">
        <v>0.03</v>
      </c>
      <c r="V17" s="43">
        <v>3.3300000000000003E-2</v>
      </c>
      <c r="W17" s="43"/>
      <c r="X17" s="43">
        <v>0.09</v>
      </c>
      <c r="Y17" s="43">
        <v>0.1</v>
      </c>
      <c r="Z17" s="43">
        <v>0.08</v>
      </c>
      <c r="AA17" s="43">
        <v>0.09</v>
      </c>
      <c r="AB17" s="43">
        <v>0.06</v>
      </c>
      <c r="AC17" s="43">
        <v>8.6699999999999999E-2</v>
      </c>
      <c r="AD17" s="43"/>
      <c r="AE17" s="43">
        <v>0.12</v>
      </c>
      <c r="AF17" s="43">
        <v>0.06</v>
      </c>
      <c r="AG17" s="43">
        <v>7.0000000000000007E-2</v>
      </c>
      <c r="AH17" s="43">
        <v>0.06</v>
      </c>
      <c r="AI17" s="43">
        <v>7.0000000000000007E-2</v>
      </c>
      <c r="AJ17" s="43">
        <v>6.6699999999999995E-2</v>
      </c>
      <c r="AK17" s="43"/>
      <c r="AL17" s="43">
        <v>0.06</v>
      </c>
      <c r="AM17" s="43">
        <v>7.0000000000000007E-2</v>
      </c>
      <c r="AN17" s="43">
        <v>7.0000000000000007E-2</v>
      </c>
      <c r="AO17" s="43">
        <v>0.17</v>
      </c>
      <c r="AP17" s="43">
        <v>0.13</v>
      </c>
      <c r="AQ17" s="43">
        <v>0.09</v>
      </c>
      <c r="AR17" s="43"/>
      <c r="AS17" s="43">
        <v>7.0000000000000007E-2</v>
      </c>
      <c r="AT17" s="43">
        <v>0.02</v>
      </c>
      <c r="AU17" s="43">
        <v>7.0000000000000007E-2</v>
      </c>
      <c r="AV17" s="43">
        <v>0.02</v>
      </c>
      <c r="AW17" s="43">
        <v>0.04</v>
      </c>
      <c r="AX17" s="43">
        <v>4.3299999999999998E-2</v>
      </c>
    </row>
    <row r="18" spans="1:50">
      <c r="A18" s="43">
        <v>12128</v>
      </c>
      <c r="B18" s="43" t="s">
        <v>92</v>
      </c>
      <c r="C18" s="43">
        <v>0.13</v>
      </c>
      <c r="D18" s="43">
        <v>0.13</v>
      </c>
      <c r="E18" s="43">
        <v>0.21</v>
      </c>
      <c r="F18" s="43">
        <v>0.21</v>
      </c>
      <c r="G18" s="43">
        <v>0.17</v>
      </c>
      <c r="H18" s="43">
        <v>0.17</v>
      </c>
      <c r="I18" s="43"/>
      <c r="J18" s="43">
        <v>0.38</v>
      </c>
      <c r="K18" s="43">
        <v>0.33</v>
      </c>
      <c r="L18" s="43">
        <v>0.54</v>
      </c>
      <c r="M18" s="43">
        <v>0.28999999999999998</v>
      </c>
      <c r="N18" s="43">
        <v>0.21</v>
      </c>
      <c r="O18" s="43">
        <v>0.33329999999999999</v>
      </c>
      <c r="P18" s="43"/>
      <c r="Q18" s="43">
        <v>0.25</v>
      </c>
      <c r="R18" s="43">
        <v>0.13</v>
      </c>
      <c r="S18" s="43">
        <v>0.28999999999999998</v>
      </c>
      <c r="T18" s="43">
        <v>0.38</v>
      </c>
      <c r="U18" s="43">
        <v>0.25</v>
      </c>
      <c r="V18" s="43">
        <v>0.26329999999999998</v>
      </c>
      <c r="W18" s="43"/>
      <c r="X18" s="43">
        <v>0.46</v>
      </c>
      <c r="Y18" s="43">
        <v>0.54</v>
      </c>
      <c r="Z18" s="43">
        <v>0.46</v>
      </c>
      <c r="AA18" s="43">
        <v>0.42</v>
      </c>
      <c r="AB18" s="43">
        <v>0.38</v>
      </c>
      <c r="AC18" s="43">
        <v>0.44669999999999999</v>
      </c>
      <c r="AD18" s="43"/>
      <c r="AE18" s="43">
        <v>0.38</v>
      </c>
      <c r="AF18" s="43">
        <v>0.25</v>
      </c>
      <c r="AG18" s="43">
        <v>0.42</v>
      </c>
      <c r="AH18" s="43">
        <v>0.38</v>
      </c>
      <c r="AI18" s="43">
        <v>0.28999999999999998</v>
      </c>
      <c r="AJ18" s="43">
        <v>0.35</v>
      </c>
      <c r="AK18" s="43"/>
      <c r="AL18" s="43">
        <v>0.42</v>
      </c>
      <c r="AM18" s="43">
        <v>0.57999999999999996</v>
      </c>
      <c r="AN18" s="43">
        <v>0.33</v>
      </c>
      <c r="AO18" s="43">
        <v>0.57999999999999996</v>
      </c>
      <c r="AP18" s="43">
        <v>0.28999999999999998</v>
      </c>
      <c r="AQ18" s="43">
        <v>0.44330000000000003</v>
      </c>
      <c r="AR18" s="43"/>
      <c r="AS18" s="43">
        <v>0.13</v>
      </c>
      <c r="AT18" s="43">
        <v>0.21</v>
      </c>
      <c r="AU18" s="43">
        <v>0.46</v>
      </c>
      <c r="AV18" s="43">
        <v>0.25</v>
      </c>
      <c r="AW18" s="43">
        <v>0.13</v>
      </c>
      <c r="AX18" s="43">
        <v>0.19670000000000001</v>
      </c>
    </row>
    <row r="19" spans="1:50">
      <c r="A19" s="43">
        <v>12150</v>
      </c>
      <c r="B19" s="43" t="s">
        <v>91</v>
      </c>
      <c r="C19" s="43">
        <v>0.1</v>
      </c>
      <c r="D19" s="43">
        <v>7.0000000000000007E-2</v>
      </c>
      <c r="E19" s="43">
        <v>7.0000000000000007E-2</v>
      </c>
      <c r="F19" s="43">
        <v>0.03</v>
      </c>
      <c r="G19" s="43">
        <v>7.0000000000000007E-2</v>
      </c>
      <c r="H19" s="43">
        <v>7.0000000000000007E-2</v>
      </c>
      <c r="I19" s="43"/>
      <c r="J19" s="43">
        <v>0.1</v>
      </c>
      <c r="K19" s="43">
        <v>7.0000000000000007E-2</v>
      </c>
      <c r="L19" s="43">
        <v>0.1</v>
      </c>
      <c r="M19" s="43">
        <v>0</v>
      </c>
      <c r="N19" s="43">
        <v>0.03</v>
      </c>
      <c r="O19" s="43">
        <v>6.6699999999999995E-2</v>
      </c>
      <c r="P19" s="43"/>
      <c r="Q19" s="43">
        <v>0.13</v>
      </c>
      <c r="R19" s="43">
        <v>0.13</v>
      </c>
      <c r="S19" s="43">
        <v>0.13</v>
      </c>
      <c r="T19" s="43">
        <v>0</v>
      </c>
      <c r="U19" s="43">
        <v>0.1</v>
      </c>
      <c r="V19" s="43">
        <v>0.12</v>
      </c>
      <c r="W19" s="43"/>
      <c r="X19" s="43">
        <v>0.13</v>
      </c>
      <c r="Y19" s="43">
        <v>0.17</v>
      </c>
      <c r="Z19" s="43">
        <v>7.0000000000000007E-2</v>
      </c>
      <c r="AA19" s="43">
        <v>7.0000000000000007E-2</v>
      </c>
      <c r="AB19" s="43">
        <v>0.1</v>
      </c>
      <c r="AC19" s="43">
        <v>0.1</v>
      </c>
      <c r="AD19" s="43"/>
      <c r="AE19" s="43">
        <v>0.1</v>
      </c>
      <c r="AF19" s="43">
        <v>7.0000000000000007E-2</v>
      </c>
      <c r="AG19" s="43">
        <v>7.0000000000000007E-2</v>
      </c>
      <c r="AH19" s="43">
        <v>0.13</v>
      </c>
      <c r="AI19" s="43">
        <v>0.1</v>
      </c>
      <c r="AJ19" s="43">
        <v>0.09</v>
      </c>
      <c r="AK19" s="43"/>
      <c r="AL19" s="43">
        <v>0.03</v>
      </c>
      <c r="AM19" s="43">
        <v>0.03</v>
      </c>
      <c r="AN19" s="43">
        <v>0.1</v>
      </c>
      <c r="AO19" s="43">
        <v>0.13</v>
      </c>
      <c r="AP19" s="43">
        <v>0.03</v>
      </c>
      <c r="AQ19" s="43">
        <v>5.33E-2</v>
      </c>
      <c r="AR19" s="43"/>
      <c r="AS19" s="43">
        <v>0.1</v>
      </c>
      <c r="AT19" s="43">
        <v>0.03</v>
      </c>
      <c r="AU19" s="43">
        <v>0.13</v>
      </c>
      <c r="AV19" s="43">
        <v>0.03</v>
      </c>
      <c r="AW19" s="43">
        <v>0.03</v>
      </c>
      <c r="AX19" s="43">
        <v>5.33E-2</v>
      </c>
    </row>
    <row r="20" spans="1:50">
      <c r="A20" s="43">
        <v>12151</v>
      </c>
      <c r="B20" s="43" t="s">
        <v>95</v>
      </c>
      <c r="C20" s="43">
        <v>0.39</v>
      </c>
      <c r="D20" s="43">
        <v>0.54</v>
      </c>
      <c r="E20" s="43">
        <v>0.37</v>
      </c>
      <c r="F20" s="43">
        <v>0.36</v>
      </c>
      <c r="G20" s="43">
        <v>0.42</v>
      </c>
      <c r="H20" s="43">
        <v>0.39329999999999998</v>
      </c>
      <c r="I20" s="43"/>
      <c r="J20" s="43">
        <v>0.46</v>
      </c>
      <c r="K20" s="43">
        <v>0.46</v>
      </c>
      <c r="L20" s="43">
        <v>0.69</v>
      </c>
      <c r="M20" s="43">
        <v>0.4</v>
      </c>
      <c r="N20" s="43">
        <v>0.51</v>
      </c>
      <c r="O20" s="43">
        <v>0.47670000000000001</v>
      </c>
      <c r="P20" s="43"/>
      <c r="Q20" s="43">
        <v>0.42</v>
      </c>
      <c r="R20" s="43">
        <v>0.52</v>
      </c>
      <c r="S20" s="43">
        <v>0.4</v>
      </c>
      <c r="T20" s="43">
        <v>0.59</v>
      </c>
      <c r="U20" s="43">
        <v>0.4</v>
      </c>
      <c r="V20" s="43">
        <v>0.44669999999999999</v>
      </c>
      <c r="W20" s="43"/>
      <c r="X20" s="43">
        <v>0.84</v>
      </c>
      <c r="Y20" s="43">
        <v>0.71</v>
      </c>
      <c r="Z20" s="43">
        <v>0.67</v>
      </c>
      <c r="AA20" s="43">
        <v>0.5</v>
      </c>
      <c r="AB20" s="43">
        <v>0.63</v>
      </c>
      <c r="AC20" s="43">
        <v>0.67</v>
      </c>
      <c r="AD20" s="43"/>
      <c r="AE20" s="43">
        <v>0.72</v>
      </c>
      <c r="AF20" s="43">
        <v>0.63</v>
      </c>
      <c r="AG20" s="43">
        <v>0.68</v>
      </c>
      <c r="AH20" s="43">
        <v>0.57999999999999996</v>
      </c>
      <c r="AI20" s="43">
        <v>0.78</v>
      </c>
      <c r="AJ20" s="43">
        <v>0.67669999999999997</v>
      </c>
      <c r="AK20" s="43"/>
      <c r="AL20" s="43">
        <v>0.62</v>
      </c>
      <c r="AM20" s="43">
        <v>0.54</v>
      </c>
      <c r="AN20" s="43">
        <v>0.65</v>
      </c>
      <c r="AO20" s="43">
        <v>0.65</v>
      </c>
      <c r="AP20" s="43">
        <v>0.62</v>
      </c>
      <c r="AQ20" s="43">
        <v>0.63</v>
      </c>
      <c r="AR20" s="43"/>
      <c r="AS20" s="43">
        <v>0.5</v>
      </c>
      <c r="AT20" s="43">
        <v>0.54</v>
      </c>
      <c r="AU20" s="43">
        <v>0.54</v>
      </c>
      <c r="AV20" s="43">
        <v>0.33</v>
      </c>
      <c r="AW20" s="43">
        <v>0.36</v>
      </c>
      <c r="AX20" s="43">
        <v>0.4667</v>
      </c>
    </row>
    <row r="21" spans="1:50">
      <c r="A21" s="43">
        <v>12153</v>
      </c>
      <c r="B21" s="43" t="s">
        <v>71</v>
      </c>
      <c r="C21" s="43">
        <v>0.02</v>
      </c>
      <c r="D21" s="43">
        <v>0.01</v>
      </c>
      <c r="E21" s="43">
        <v>0.02</v>
      </c>
      <c r="F21" s="43">
        <v>0.03</v>
      </c>
      <c r="G21" s="43">
        <v>0.02</v>
      </c>
      <c r="H21" s="43">
        <v>0.02</v>
      </c>
      <c r="I21" s="43"/>
      <c r="J21" s="43">
        <v>0.04</v>
      </c>
      <c r="K21" s="43">
        <v>0.03</v>
      </c>
      <c r="L21" s="43">
        <v>0.03</v>
      </c>
      <c r="M21" s="43">
        <v>0.02</v>
      </c>
      <c r="N21" s="43">
        <v>0</v>
      </c>
      <c r="O21" s="43">
        <v>2.6700000000000002E-2</v>
      </c>
      <c r="P21" s="43"/>
      <c r="Q21" s="43">
        <v>0.03</v>
      </c>
      <c r="R21" s="43">
        <v>0.02</v>
      </c>
      <c r="S21" s="43">
        <v>0.02</v>
      </c>
      <c r="T21" s="43">
        <v>0.01</v>
      </c>
      <c r="U21" s="43">
        <v>0.04</v>
      </c>
      <c r="V21" s="43">
        <v>2.3300000000000001E-2</v>
      </c>
      <c r="W21" s="43"/>
      <c r="X21" s="43">
        <v>0.02</v>
      </c>
      <c r="Y21" s="43">
        <v>0.03</v>
      </c>
      <c r="Z21" s="43">
        <v>0.03</v>
      </c>
      <c r="AA21" s="43">
        <v>0.06</v>
      </c>
      <c r="AB21" s="43">
        <v>0.03</v>
      </c>
      <c r="AC21" s="43">
        <v>0.03</v>
      </c>
      <c r="AD21" s="43"/>
      <c r="AE21" s="43">
        <v>0.04</v>
      </c>
      <c r="AF21" s="43">
        <v>0.03</v>
      </c>
      <c r="AG21" s="43">
        <v>0.04</v>
      </c>
      <c r="AH21" s="43">
        <v>0.03</v>
      </c>
      <c r="AI21" s="43">
        <v>0.03</v>
      </c>
      <c r="AJ21" s="43">
        <v>3.3300000000000003E-2</v>
      </c>
      <c r="AK21" s="43"/>
      <c r="AL21" s="43">
        <v>0.03</v>
      </c>
      <c r="AM21" s="43">
        <v>0.02</v>
      </c>
      <c r="AN21" s="43">
        <v>0.03</v>
      </c>
      <c r="AO21" s="43">
        <v>0.05</v>
      </c>
      <c r="AP21" s="43">
        <v>0.05</v>
      </c>
      <c r="AQ21" s="43">
        <v>3.6700000000000003E-2</v>
      </c>
      <c r="AR21" s="43"/>
      <c r="AS21" s="43">
        <v>0.02</v>
      </c>
      <c r="AT21" s="43">
        <v>0</v>
      </c>
      <c r="AU21" s="43">
        <v>0.01</v>
      </c>
      <c r="AV21" s="43">
        <v>0.03</v>
      </c>
      <c r="AW21" s="43">
        <v>0</v>
      </c>
      <c r="AX21" s="43">
        <v>0.01</v>
      </c>
    </row>
    <row r="22" spans="1:50">
      <c r="A22" s="43">
        <v>12945</v>
      </c>
      <c r="B22" s="43" t="s">
        <v>61</v>
      </c>
      <c r="C22" s="43">
        <v>0.81</v>
      </c>
      <c r="D22" s="43">
        <v>0.88</v>
      </c>
      <c r="E22" s="43">
        <v>0.8</v>
      </c>
      <c r="F22" s="43">
        <v>0.67</v>
      </c>
      <c r="G22" s="43">
        <v>0.71</v>
      </c>
      <c r="H22" s="43">
        <v>0.77329999999999999</v>
      </c>
      <c r="I22" s="43"/>
      <c r="J22" s="43">
        <v>0.88</v>
      </c>
      <c r="K22" s="43">
        <v>0.91</v>
      </c>
      <c r="L22" s="43">
        <v>1.05</v>
      </c>
      <c r="M22" s="43">
        <v>0.83</v>
      </c>
      <c r="N22" s="43">
        <v>0.71</v>
      </c>
      <c r="O22" s="43">
        <v>0.87329999999999997</v>
      </c>
      <c r="P22" s="43"/>
      <c r="Q22" s="43">
        <v>0.91</v>
      </c>
      <c r="R22" s="43">
        <v>1.2</v>
      </c>
      <c r="S22" s="43">
        <v>1.03</v>
      </c>
      <c r="T22" s="43">
        <v>0.82</v>
      </c>
      <c r="U22" s="43">
        <v>0.67</v>
      </c>
      <c r="V22" s="43">
        <v>0.92</v>
      </c>
      <c r="W22" s="43"/>
      <c r="X22" s="43">
        <v>1.23</v>
      </c>
      <c r="Y22" s="43">
        <v>1.25</v>
      </c>
      <c r="Z22" s="43">
        <v>1.29</v>
      </c>
      <c r="AA22" s="43">
        <v>1.1000000000000001</v>
      </c>
      <c r="AB22" s="43">
        <v>1.06</v>
      </c>
      <c r="AC22" s="43">
        <v>1.1933</v>
      </c>
      <c r="AD22" s="43"/>
      <c r="AE22" s="43">
        <v>1.25</v>
      </c>
      <c r="AF22" s="43">
        <v>1.1399999999999999</v>
      </c>
      <c r="AG22" s="43">
        <v>1.1599999999999999</v>
      </c>
      <c r="AH22" s="43">
        <v>1.1200000000000001</v>
      </c>
      <c r="AI22" s="43">
        <v>1.1399999999999999</v>
      </c>
      <c r="AJ22" s="43">
        <v>1.1467000000000001</v>
      </c>
      <c r="AK22" s="43"/>
      <c r="AL22" s="43">
        <v>1.17</v>
      </c>
      <c r="AM22" s="43">
        <v>1.1100000000000001</v>
      </c>
      <c r="AN22" s="43">
        <v>1.1000000000000001</v>
      </c>
      <c r="AO22" s="43">
        <v>0.98</v>
      </c>
      <c r="AP22" s="43">
        <v>1.07</v>
      </c>
      <c r="AQ22" s="43">
        <v>1.0932999999999999</v>
      </c>
      <c r="AR22" s="43"/>
      <c r="AS22" s="43">
        <v>0.73</v>
      </c>
      <c r="AT22" s="43">
        <v>0.8</v>
      </c>
      <c r="AU22" s="43">
        <v>0.82</v>
      </c>
      <c r="AV22" s="43">
        <v>0.61</v>
      </c>
      <c r="AW22" s="43">
        <v>0.63</v>
      </c>
      <c r="AX22" s="43">
        <v>0.72</v>
      </c>
    </row>
    <row r="23" spans="1:50">
      <c r="A23" s="43">
        <v>13016</v>
      </c>
      <c r="B23" s="43" t="s">
        <v>118</v>
      </c>
      <c r="C23" s="43">
        <v>0.63</v>
      </c>
      <c r="D23" s="43">
        <v>0.86</v>
      </c>
      <c r="E23" s="43">
        <v>0.81</v>
      </c>
      <c r="F23" s="43">
        <v>0.57999999999999996</v>
      </c>
      <c r="G23" s="43">
        <v>0.66</v>
      </c>
      <c r="H23" s="43">
        <v>0.7</v>
      </c>
      <c r="I23" s="43"/>
      <c r="J23" s="43">
        <v>0.85</v>
      </c>
      <c r="K23" s="43">
        <v>0.88</v>
      </c>
      <c r="L23" s="43">
        <v>0.92</v>
      </c>
      <c r="M23" s="43">
        <v>0.69</v>
      </c>
      <c r="N23" s="43">
        <v>0.68</v>
      </c>
      <c r="O23" s="43">
        <v>0.80669999999999997</v>
      </c>
      <c r="P23" s="43"/>
      <c r="Q23" s="43">
        <v>0.81</v>
      </c>
      <c r="R23" s="43">
        <v>0.87</v>
      </c>
      <c r="S23" s="43">
        <v>0.88</v>
      </c>
      <c r="T23" s="43">
        <v>0.84</v>
      </c>
      <c r="U23" s="43">
        <v>0.71</v>
      </c>
      <c r="V23" s="43">
        <v>0.84</v>
      </c>
      <c r="W23" s="43"/>
      <c r="X23" s="43">
        <v>1.0900000000000001</v>
      </c>
      <c r="Y23" s="43">
        <v>1.17</v>
      </c>
      <c r="Z23" s="43">
        <v>1.18</v>
      </c>
      <c r="AA23" s="43">
        <v>1.1399999999999999</v>
      </c>
      <c r="AB23" s="43">
        <v>0.93</v>
      </c>
      <c r="AC23" s="43">
        <v>1.1333</v>
      </c>
      <c r="AD23" s="43"/>
      <c r="AE23" s="43">
        <v>1.17</v>
      </c>
      <c r="AF23" s="43">
        <v>1.06</v>
      </c>
      <c r="AG23" s="43">
        <v>1.03</v>
      </c>
      <c r="AH23" s="43">
        <v>1.1399999999999999</v>
      </c>
      <c r="AI23" s="43">
        <v>1.1200000000000001</v>
      </c>
      <c r="AJ23" s="43">
        <v>1.1067</v>
      </c>
      <c r="AK23" s="43"/>
      <c r="AL23" s="43">
        <v>1.07</v>
      </c>
      <c r="AM23" s="43">
        <v>0.96</v>
      </c>
      <c r="AN23" s="43">
        <v>1.02</v>
      </c>
      <c r="AO23" s="43">
        <v>0.99</v>
      </c>
      <c r="AP23" s="43">
        <v>1.04</v>
      </c>
      <c r="AQ23" s="43">
        <v>1.0166999999999999</v>
      </c>
      <c r="AR23" s="43"/>
      <c r="AS23" s="43">
        <v>0.67</v>
      </c>
      <c r="AT23" s="43">
        <v>0.72</v>
      </c>
      <c r="AU23" s="43">
        <v>0.8</v>
      </c>
      <c r="AV23" s="43">
        <v>0.62</v>
      </c>
      <c r="AW23" s="43">
        <v>0.67</v>
      </c>
      <c r="AX23" s="43">
        <v>0.68669999999999998</v>
      </c>
    </row>
    <row r="24" spans="1:50">
      <c r="A24" s="43">
        <v>13529</v>
      </c>
      <c r="B24" s="43" t="s">
        <v>172</v>
      </c>
      <c r="C24" s="43">
        <v>0.06</v>
      </c>
      <c r="D24" s="43">
        <v>0.16</v>
      </c>
      <c r="E24" s="43">
        <v>0.12</v>
      </c>
      <c r="F24" s="43">
        <v>0.14000000000000001</v>
      </c>
      <c r="G24" s="43">
        <v>0.15</v>
      </c>
      <c r="H24" s="43">
        <v>0.13669999999999999</v>
      </c>
      <c r="I24" s="43"/>
      <c r="J24" s="43">
        <v>0.06</v>
      </c>
      <c r="K24" s="43">
        <v>0.12</v>
      </c>
      <c r="L24" s="43">
        <v>0.13</v>
      </c>
      <c r="M24" s="43">
        <v>0.1</v>
      </c>
      <c r="N24" s="43">
        <v>0.17</v>
      </c>
      <c r="O24" s="43">
        <v>0.1167</v>
      </c>
      <c r="P24" s="43"/>
      <c r="Q24" s="43">
        <v>0.13</v>
      </c>
      <c r="R24" s="43">
        <v>0.11</v>
      </c>
      <c r="S24" s="43">
        <v>0.11</v>
      </c>
      <c r="T24" s="43">
        <v>0.14000000000000001</v>
      </c>
      <c r="U24" s="43">
        <v>0.08</v>
      </c>
      <c r="V24" s="43">
        <v>0.1167</v>
      </c>
      <c r="W24" s="43"/>
      <c r="X24" s="43">
        <v>0.22</v>
      </c>
      <c r="Y24" s="43">
        <v>0.24</v>
      </c>
      <c r="Z24" s="43">
        <v>0.23</v>
      </c>
      <c r="AA24" s="43">
        <v>0.1</v>
      </c>
      <c r="AB24" s="43">
        <v>0.22</v>
      </c>
      <c r="AC24" s="43">
        <v>0.2233</v>
      </c>
      <c r="AD24" s="43"/>
      <c r="AE24" s="43">
        <v>0.15</v>
      </c>
      <c r="AF24" s="43">
        <v>0.17</v>
      </c>
      <c r="AG24" s="43">
        <v>0.22</v>
      </c>
      <c r="AH24" s="43">
        <v>0.17</v>
      </c>
      <c r="AI24" s="43">
        <v>0.21</v>
      </c>
      <c r="AJ24" s="43">
        <v>0.18329999999999999</v>
      </c>
      <c r="AK24" s="43"/>
      <c r="AL24" s="43">
        <v>0.15</v>
      </c>
      <c r="AM24" s="43">
        <v>0.16</v>
      </c>
      <c r="AN24" s="43">
        <v>0.22</v>
      </c>
      <c r="AO24" s="43">
        <v>0.18</v>
      </c>
      <c r="AP24" s="43">
        <v>0.16</v>
      </c>
      <c r="AQ24" s="43">
        <v>0.16669999999999999</v>
      </c>
      <c r="AR24" s="43"/>
      <c r="AS24" s="43">
        <v>0.16</v>
      </c>
      <c r="AT24" s="43">
        <v>0.14000000000000001</v>
      </c>
      <c r="AU24" s="43">
        <v>0.11</v>
      </c>
      <c r="AV24" s="43">
        <v>0.1</v>
      </c>
      <c r="AW24" s="43">
        <v>0.11</v>
      </c>
      <c r="AX24" s="43">
        <v>0.12</v>
      </c>
    </row>
    <row r="25" spans="1:50">
      <c r="A25" s="43">
        <v>13735</v>
      </c>
      <c r="B25" s="43" t="s">
        <v>122</v>
      </c>
      <c r="C25" s="43">
        <v>0.13</v>
      </c>
      <c r="D25" s="43">
        <v>0.16</v>
      </c>
      <c r="E25" s="43">
        <v>0.13</v>
      </c>
      <c r="F25" s="43">
        <v>0.13</v>
      </c>
      <c r="G25" s="43">
        <v>0.13</v>
      </c>
      <c r="H25" s="43">
        <v>0.13</v>
      </c>
      <c r="I25" s="43"/>
      <c r="J25" s="43">
        <v>0.15</v>
      </c>
      <c r="K25" s="43">
        <v>0.18</v>
      </c>
      <c r="L25" s="43">
        <v>0.19</v>
      </c>
      <c r="M25" s="43">
        <v>0.15</v>
      </c>
      <c r="N25" s="43">
        <v>0.15</v>
      </c>
      <c r="O25" s="43">
        <v>0.16</v>
      </c>
      <c r="P25" s="43"/>
      <c r="Q25" s="43">
        <v>0.15</v>
      </c>
      <c r="R25" s="43">
        <v>0.18</v>
      </c>
      <c r="S25" s="43">
        <v>0.14000000000000001</v>
      </c>
      <c r="T25" s="43">
        <v>0.18</v>
      </c>
      <c r="U25" s="43">
        <v>0.15</v>
      </c>
      <c r="V25" s="43">
        <v>0.16</v>
      </c>
      <c r="W25" s="43"/>
      <c r="X25" s="43">
        <v>0.26</v>
      </c>
      <c r="Y25" s="43">
        <v>0.25</v>
      </c>
      <c r="Z25" s="43">
        <v>0.22</v>
      </c>
      <c r="AA25" s="43">
        <v>0.19</v>
      </c>
      <c r="AB25" s="43">
        <v>0.19</v>
      </c>
      <c r="AC25" s="43">
        <v>0.22</v>
      </c>
      <c r="AD25" s="43"/>
      <c r="AE25" s="43">
        <v>0.24</v>
      </c>
      <c r="AF25" s="43">
        <v>0.21</v>
      </c>
      <c r="AG25" s="43">
        <v>0.2</v>
      </c>
      <c r="AH25" s="43">
        <v>0.17</v>
      </c>
      <c r="AI25" s="43">
        <v>0.21</v>
      </c>
      <c r="AJ25" s="43">
        <v>0.20669999999999999</v>
      </c>
      <c r="AK25" s="43"/>
      <c r="AL25" s="43">
        <v>0.2</v>
      </c>
      <c r="AM25" s="43">
        <v>0.16</v>
      </c>
      <c r="AN25" s="43">
        <v>0.2</v>
      </c>
      <c r="AO25" s="43">
        <v>0.19</v>
      </c>
      <c r="AP25" s="43">
        <v>0.21</v>
      </c>
      <c r="AQ25" s="43">
        <v>0.19670000000000001</v>
      </c>
      <c r="AR25" s="43"/>
      <c r="AS25" s="43">
        <v>0.14000000000000001</v>
      </c>
      <c r="AT25" s="43">
        <v>0.16</v>
      </c>
      <c r="AU25" s="43">
        <v>0.16</v>
      </c>
      <c r="AV25" s="43">
        <v>0.12</v>
      </c>
      <c r="AW25" s="43">
        <v>0.12</v>
      </c>
      <c r="AX25" s="43">
        <v>0.14000000000000001</v>
      </c>
    </row>
    <row r="26" spans="1:50">
      <c r="A26" s="43">
        <v>13839</v>
      </c>
      <c r="B26" s="43" t="s">
        <v>106</v>
      </c>
      <c r="C26" s="43">
        <v>0.21</v>
      </c>
      <c r="D26" s="43">
        <v>0.25</v>
      </c>
      <c r="E26" s="43">
        <v>0.28999999999999998</v>
      </c>
      <c r="F26" s="43">
        <v>0.25</v>
      </c>
      <c r="G26" s="43">
        <v>0.28999999999999998</v>
      </c>
      <c r="H26" s="43">
        <v>0.26329999999999998</v>
      </c>
      <c r="I26" s="43"/>
      <c r="J26" s="43">
        <v>0.08</v>
      </c>
      <c r="K26" s="43">
        <v>0.28999999999999998</v>
      </c>
      <c r="L26" s="43">
        <v>0.13</v>
      </c>
      <c r="M26" s="43">
        <v>0.25</v>
      </c>
      <c r="N26" s="43">
        <v>0.17</v>
      </c>
      <c r="O26" s="43">
        <v>0.18329999999999999</v>
      </c>
      <c r="P26" s="43"/>
      <c r="Q26" s="43">
        <v>0.25</v>
      </c>
      <c r="R26" s="43">
        <v>0.13</v>
      </c>
      <c r="S26" s="43">
        <v>0.42</v>
      </c>
      <c r="T26" s="43">
        <v>0.25</v>
      </c>
      <c r="U26" s="43">
        <v>0.13</v>
      </c>
      <c r="V26" s="43">
        <v>0.21</v>
      </c>
      <c r="W26" s="43"/>
      <c r="X26" s="43">
        <v>0.46</v>
      </c>
      <c r="Y26" s="43">
        <v>0.25</v>
      </c>
      <c r="Z26" s="43">
        <v>0.28999999999999998</v>
      </c>
      <c r="AA26" s="43">
        <v>0.25</v>
      </c>
      <c r="AB26" s="43">
        <v>0.21</v>
      </c>
      <c r="AC26" s="43">
        <v>0.26329999999999998</v>
      </c>
      <c r="AD26" s="43"/>
      <c r="AE26" s="43">
        <v>0.5</v>
      </c>
      <c r="AF26" s="43">
        <v>0.25</v>
      </c>
      <c r="AG26" s="43">
        <v>0.25</v>
      </c>
      <c r="AH26" s="43">
        <v>0.5</v>
      </c>
      <c r="AI26" s="43">
        <v>0.38</v>
      </c>
      <c r="AJ26" s="43">
        <v>0.37669999999999998</v>
      </c>
      <c r="AK26" s="43"/>
      <c r="AL26" s="43">
        <v>0.17</v>
      </c>
      <c r="AM26" s="43">
        <v>0.42</v>
      </c>
      <c r="AN26" s="43">
        <v>0.33</v>
      </c>
      <c r="AO26" s="43">
        <v>0</v>
      </c>
      <c r="AP26" s="43">
        <v>0.33</v>
      </c>
      <c r="AQ26" s="43">
        <v>0.2767</v>
      </c>
      <c r="AR26" s="43"/>
      <c r="AS26" s="43">
        <v>0.46</v>
      </c>
      <c r="AT26" s="43">
        <v>0.38</v>
      </c>
      <c r="AU26" s="43">
        <v>0.21</v>
      </c>
      <c r="AV26" s="43">
        <v>0.21</v>
      </c>
      <c r="AW26" s="43">
        <v>0.21</v>
      </c>
      <c r="AX26" s="43">
        <v>0.26669999999999999</v>
      </c>
    </row>
    <row r="27" spans="1:50">
      <c r="A27" s="43">
        <v>14601</v>
      </c>
      <c r="B27" s="43" t="s">
        <v>94</v>
      </c>
      <c r="C27" s="43">
        <v>0.3</v>
      </c>
      <c r="D27" s="43">
        <v>0.23</v>
      </c>
      <c r="E27" s="43">
        <v>0.2</v>
      </c>
      <c r="F27" s="43">
        <v>0.23</v>
      </c>
      <c r="G27" s="43">
        <v>0.23</v>
      </c>
      <c r="H27" s="43">
        <v>0.23</v>
      </c>
      <c r="I27" s="43"/>
      <c r="J27" s="43">
        <v>0.17</v>
      </c>
      <c r="K27" s="43">
        <v>0.2</v>
      </c>
      <c r="L27" s="43">
        <v>0.27</v>
      </c>
      <c r="M27" s="43">
        <v>0.3</v>
      </c>
      <c r="N27" s="43">
        <v>0.23</v>
      </c>
      <c r="O27" s="43">
        <v>0.23330000000000001</v>
      </c>
      <c r="P27" s="43"/>
      <c r="Q27" s="43">
        <v>0.53</v>
      </c>
      <c r="R27" s="43">
        <v>0.2</v>
      </c>
      <c r="S27" s="43">
        <v>0.33</v>
      </c>
      <c r="T27" s="43">
        <v>0.43</v>
      </c>
      <c r="U27" s="43">
        <v>0.13</v>
      </c>
      <c r="V27" s="43">
        <v>0.32</v>
      </c>
      <c r="W27" s="43"/>
      <c r="X27" s="43">
        <v>0.3</v>
      </c>
      <c r="Y27" s="43">
        <v>0.53</v>
      </c>
      <c r="Z27" s="43">
        <v>0.33</v>
      </c>
      <c r="AA27" s="43">
        <v>0.53</v>
      </c>
      <c r="AB27" s="43">
        <v>0.4</v>
      </c>
      <c r="AC27" s="43">
        <v>0.42</v>
      </c>
      <c r="AD27" s="43"/>
      <c r="AE27" s="43">
        <v>0.27</v>
      </c>
      <c r="AF27" s="43">
        <v>0.33</v>
      </c>
      <c r="AG27" s="43">
        <v>0.56999999999999995</v>
      </c>
      <c r="AH27" s="43">
        <v>0.6</v>
      </c>
      <c r="AI27" s="43">
        <v>0.53</v>
      </c>
      <c r="AJ27" s="43">
        <v>0.47670000000000001</v>
      </c>
      <c r="AK27" s="43"/>
      <c r="AL27" s="43">
        <v>0.17</v>
      </c>
      <c r="AM27" s="43">
        <v>0.4</v>
      </c>
      <c r="AN27" s="43">
        <v>0.33</v>
      </c>
      <c r="AO27" s="43">
        <v>0.17</v>
      </c>
      <c r="AP27" s="43">
        <v>0.4</v>
      </c>
      <c r="AQ27" s="43">
        <v>0.3</v>
      </c>
      <c r="AR27" s="43"/>
      <c r="AS27" s="43">
        <v>0.2</v>
      </c>
      <c r="AT27" s="43">
        <v>0.17</v>
      </c>
      <c r="AU27" s="43">
        <v>0.47</v>
      </c>
      <c r="AV27" s="43">
        <v>0.27</v>
      </c>
      <c r="AW27" s="43">
        <v>0.2</v>
      </c>
      <c r="AX27" s="43">
        <v>0.2233</v>
      </c>
    </row>
    <row r="28" spans="1:50">
      <c r="A28" s="43">
        <v>14602</v>
      </c>
      <c r="B28" s="43" t="s">
        <v>73</v>
      </c>
      <c r="C28" s="43">
        <v>7.0000000000000007E-2</v>
      </c>
      <c r="D28" s="43">
        <v>0.13</v>
      </c>
      <c r="E28" s="43">
        <v>0.03</v>
      </c>
      <c r="F28" s="43">
        <v>7.0000000000000007E-2</v>
      </c>
      <c r="G28" s="43">
        <v>0.03</v>
      </c>
      <c r="H28" s="43">
        <v>5.67E-2</v>
      </c>
      <c r="I28" s="43"/>
      <c r="J28" s="43">
        <v>0.1</v>
      </c>
      <c r="K28" s="43">
        <v>0</v>
      </c>
      <c r="L28" s="43">
        <v>0.03</v>
      </c>
      <c r="M28" s="43">
        <v>7.0000000000000007E-2</v>
      </c>
      <c r="N28" s="43">
        <v>7.0000000000000007E-2</v>
      </c>
      <c r="O28" s="43">
        <v>5.67E-2</v>
      </c>
      <c r="P28" s="43"/>
      <c r="Q28" s="43">
        <v>7.0000000000000007E-2</v>
      </c>
      <c r="R28" s="43">
        <v>7.0000000000000007E-2</v>
      </c>
      <c r="S28" s="43">
        <v>0.03</v>
      </c>
      <c r="T28" s="43">
        <v>7.0000000000000007E-2</v>
      </c>
      <c r="U28" s="43">
        <v>0.03</v>
      </c>
      <c r="V28" s="43">
        <v>5.67E-2</v>
      </c>
      <c r="W28" s="43"/>
      <c r="X28" s="43">
        <v>7.0000000000000007E-2</v>
      </c>
      <c r="Y28" s="43">
        <v>0.13</v>
      </c>
      <c r="Z28" s="43">
        <v>7.0000000000000007E-2</v>
      </c>
      <c r="AA28" s="43">
        <v>0.23</v>
      </c>
      <c r="AB28" s="43">
        <v>0.03</v>
      </c>
      <c r="AC28" s="43">
        <v>0.09</v>
      </c>
      <c r="AD28" s="43"/>
      <c r="AE28" s="43">
        <v>0</v>
      </c>
      <c r="AF28" s="43">
        <v>0</v>
      </c>
      <c r="AG28" s="43">
        <v>0.1</v>
      </c>
      <c r="AH28" s="43">
        <v>0.3</v>
      </c>
      <c r="AI28" s="43">
        <v>0.23</v>
      </c>
      <c r="AJ28" s="43">
        <v>0.11</v>
      </c>
      <c r="AK28" s="43"/>
      <c r="AL28" s="43">
        <v>0.03</v>
      </c>
      <c r="AM28" s="43">
        <v>0</v>
      </c>
      <c r="AN28" s="43">
        <v>0.1</v>
      </c>
      <c r="AO28" s="43">
        <v>0.17</v>
      </c>
      <c r="AP28" s="43">
        <v>0.1</v>
      </c>
      <c r="AQ28" s="43">
        <v>7.6700000000000004E-2</v>
      </c>
      <c r="AR28" s="43"/>
      <c r="AS28" s="43">
        <v>0.1</v>
      </c>
      <c r="AT28" s="43">
        <v>7.0000000000000007E-2</v>
      </c>
      <c r="AU28" s="43">
        <v>0.1</v>
      </c>
      <c r="AV28" s="43">
        <v>7.0000000000000007E-2</v>
      </c>
      <c r="AW28" s="43">
        <v>7.0000000000000007E-2</v>
      </c>
      <c r="AX28" s="43">
        <v>0.08</v>
      </c>
    </row>
    <row r="29" spans="1:50">
      <c r="A29" s="43">
        <v>14603</v>
      </c>
      <c r="B29" s="43" t="s">
        <v>89</v>
      </c>
      <c r="C29" s="43">
        <v>7.0000000000000007E-2</v>
      </c>
      <c r="D29" s="43">
        <v>0.03</v>
      </c>
      <c r="E29" s="43">
        <v>0.17</v>
      </c>
      <c r="F29" s="43">
        <v>0.1</v>
      </c>
      <c r="G29" s="43">
        <v>0.03</v>
      </c>
      <c r="H29" s="43">
        <v>6.6699999999999995E-2</v>
      </c>
      <c r="I29" s="43"/>
      <c r="J29" s="43">
        <v>0.23</v>
      </c>
      <c r="K29" s="43">
        <v>7.0000000000000007E-2</v>
      </c>
      <c r="L29" s="43">
        <v>0.13</v>
      </c>
      <c r="M29" s="43">
        <v>0.03</v>
      </c>
      <c r="N29" s="43">
        <v>0.1</v>
      </c>
      <c r="O29" s="43">
        <v>0.1</v>
      </c>
      <c r="P29" s="43"/>
      <c r="Q29" s="43">
        <v>7.0000000000000007E-2</v>
      </c>
      <c r="R29" s="43">
        <v>0.1</v>
      </c>
      <c r="S29" s="43">
        <v>0.1</v>
      </c>
      <c r="T29" s="43">
        <v>0.03</v>
      </c>
      <c r="U29" s="43">
        <v>0.03</v>
      </c>
      <c r="V29" s="43">
        <v>6.6699999999999995E-2</v>
      </c>
      <c r="W29" s="43"/>
      <c r="X29" s="43">
        <v>0.1</v>
      </c>
      <c r="Y29" s="43">
        <v>0.13</v>
      </c>
      <c r="Z29" s="43">
        <v>0.03</v>
      </c>
      <c r="AA29" s="43">
        <v>7.0000000000000007E-2</v>
      </c>
      <c r="AB29" s="43">
        <v>0.17</v>
      </c>
      <c r="AC29" s="43">
        <v>0.1</v>
      </c>
      <c r="AD29" s="43"/>
      <c r="AE29" s="43">
        <v>0.2</v>
      </c>
      <c r="AF29" s="43">
        <v>0.03</v>
      </c>
      <c r="AG29" s="43">
        <v>0.13</v>
      </c>
      <c r="AH29" s="43">
        <v>7.0000000000000007E-2</v>
      </c>
      <c r="AI29" s="43">
        <v>0.13</v>
      </c>
      <c r="AJ29" s="43">
        <v>0.11</v>
      </c>
      <c r="AK29" s="43"/>
      <c r="AL29" s="43">
        <v>0.17</v>
      </c>
      <c r="AM29" s="43">
        <v>0.13</v>
      </c>
      <c r="AN29" s="43">
        <v>7.0000000000000007E-2</v>
      </c>
      <c r="AO29" s="43">
        <v>0.1</v>
      </c>
      <c r="AP29" s="43">
        <v>0.17</v>
      </c>
      <c r="AQ29" s="43">
        <v>0.1333</v>
      </c>
      <c r="AR29" s="43"/>
      <c r="AS29" s="43">
        <v>0.03</v>
      </c>
      <c r="AT29" s="43">
        <v>7.0000000000000007E-2</v>
      </c>
      <c r="AU29" s="43">
        <v>7.0000000000000007E-2</v>
      </c>
      <c r="AV29" s="43">
        <v>0.17</v>
      </c>
      <c r="AW29" s="43">
        <v>0.03</v>
      </c>
      <c r="AX29" s="43">
        <v>5.67E-2</v>
      </c>
    </row>
    <row r="30" spans="1:50">
      <c r="A30" s="43">
        <v>14606</v>
      </c>
      <c r="B30" s="43" t="s">
        <v>88</v>
      </c>
      <c r="C30" s="43">
        <v>0.04</v>
      </c>
      <c r="D30" s="43">
        <v>0.02</v>
      </c>
      <c r="E30" s="43">
        <v>0.06</v>
      </c>
      <c r="F30" s="43">
        <v>7.0000000000000007E-2</v>
      </c>
      <c r="G30" s="43">
        <v>0.05</v>
      </c>
      <c r="H30" s="43">
        <v>0.05</v>
      </c>
      <c r="I30" s="43"/>
      <c r="J30" s="43">
        <v>0.03</v>
      </c>
      <c r="K30" s="43">
        <v>0.06</v>
      </c>
      <c r="L30" s="43">
        <v>0.03</v>
      </c>
      <c r="M30" s="43">
        <v>0.08</v>
      </c>
      <c r="N30" s="43">
        <v>0.04</v>
      </c>
      <c r="O30" s="43">
        <v>4.3299999999999998E-2</v>
      </c>
      <c r="P30" s="43"/>
      <c r="Q30" s="43">
        <v>0.05</v>
      </c>
      <c r="R30" s="43">
        <v>7.0000000000000007E-2</v>
      </c>
      <c r="S30" s="43">
        <v>0.03</v>
      </c>
      <c r="T30" s="43">
        <v>0.06</v>
      </c>
      <c r="U30" s="43">
        <v>0.02</v>
      </c>
      <c r="V30" s="43">
        <v>4.6699999999999998E-2</v>
      </c>
      <c r="W30" s="43"/>
      <c r="X30" s="43">
        <v>0.09</v>
      </c>
      <c r="Y30" s="43">
        <v>0.05</v>
      </c>
      <c r="Z30" s="43">
        <v>0.06</v>
      </c>
      <c r="AA30" s="43">
        <v>7.0000000000000007E-2</v>
      </c>
      <c r="AB30" s="43">
        <v>0.03</v>
      </c>
      <c r="AC30" s="43">
        <v>0.06</v>
      </c>
      <c r="AD30" s="43"/>
      <c r="AE30" s="43">
        <v>0.12</v>
      </c>
      <c r="AF30" s="43">
        <v>7.0000000000000007E-2</v>
      </c>
      <c r="AG30" s="43">
        <v>0.06</v>
      </c>
      <c r="AH30" s="43">
        <v>0.05</v>
      </c>
      <c r="AI30" s="43">
        <v>0.05</v>
      </c>
      <c r="AJ30" s="43">
        <v>0.06</v>
      </c>
      <c r="AK30" s="43"/>
      <c r="AL30" s="43">
        <v>0.06</v>
      </c>
      <c r="AM30" s="43">
        <v>0.06</v>
      </c>
      <c r="AN30" s="43">
        <v>0.05</v>
      </c>
      <c r="AO30" s="43">
        <v>0.04</v>
      </c>
      <c r="AP30" s="43">
        <v>7.0000000000000007E-2</v>
      </c>
      <c r="AQ30" s="43">
        <v>5.67E-2</v>
      </c>
      <c r="AR30" s="43"/>
      <c r="AS30" s="43">
        <v>0.04</v>
      </c>
      <c r="AT30" s="43">
        <v>0.06</v>
      </c>
      <c r="AU30" s="43">
        <v>0.03</v>
      </c>
      <c r="AV30" s="43">
        <v>0.05</v>
      </c>
      <c r="AW30" s="43">
        <v>0.06</v>
      </c>
      <c r="AX30" s="43">
        <v>0.05</v>
      </c>
    </row>
    <row r="31" spans="1:50">
      <c r="A31" s="43">
        <v>14648</v>
      </c>
      <c r="B31" s="43" t="s">
        <v>90</v>
      </c>
      <c r="C31" s="43">
        <v>0.04</v>
      </c>
      <c r="D31" s="43">
        <v>0.08</v>
      </c>
      <c r="E31" s="43">
        <v>0.17</v>
      </c>
      <c r="F31" s="43">
        <v>0.04</v>
      </c>
      <c r="G31" s="43">
        <v>0.04</v>
      </c>
      <c r="H31" s="43">
        <v>5.33E-2</v>
      </c>
      <c r="I31" s="43"/>
      <c r="J31" s="43">
        <v>0.04</v>
      </c>
      <c r="K31" s="43">
        <v>0.25</v>
      </c>
      <c r="L31" s="43">
        <v>0.08</v>
      </c>
      <c r="M31" s="43">
        <v>0.04</v>
      </c>
      <c r="N31" s="43">
        <v>0.17</v>
      </c>
      <c r="O31" s="43">
        <v>9.6699999999999994E-2</v>
      </c>
      <c r="P31" s="43"/>
      <c r="Q31" s="43">
        <v>0.08</v>
      </c>
      <c r="R31" s="43">
        <v>0</v>
      </c>
      <c r="S31" s="43">
        <v>0.13</v>
      </c>
      <c r="T31" s="43">
        <v>0.17</v>
      </c>
      <c r="U31" s="43">
        <v>0.04</v>
      </c>
      <c r="V31" s="43">
        <v>8.3299999999999999E-2</v>
      </c>
      <c r="W31" s="43"/>
      <c r="X31" s="43">
        <v>0.13</v>
      </c>
      <c r="Y31" s="43">
        <v>0.25</v>
      </c>
      <c r="Z31" s="43">
        <v>0.17</v>
      </c>
      <c r="AA31" s="43">
        <v>0.04</v>
      </c>
      <c r="AB31" s="43">
        <v>0</v>
      </c>
      <c r="AC31" s="43">
        <v>0.1133</v>
      </c>
      <c r="AD31" s="43"/>
      <c r="AE31" s="43">
        <v>0.08</v>
      </c>
      <c r="AF31" s="43">
        <v>0.13</v>
      </c>
      <c r="AG31" s="43">
        <v>0.17</v>
      </c>
      <c r="AH31" s="43">
        <v>0.13</v>
      </c>
      <c r="AI31" s="43">
        <v>0.17</v>
      </c>
      <c r="AJ31" s="43">
        <v>0.14330000000000001</v>
      </c>
      <c r="AK31" s="43"/>
      <c r="AL31" s="43">
        <v>0.04</v>
      </c>
      <c r="AM31" s="43">
        <v>0.08</v>
      </c>
      <c r="AN31" s="43">
        <v>0.08</v>
      </c>
      <c r="AO31" s="43">
        <v>0.13</v>
      </c>
      <c r="AP31" s="43">
        <v>0.04</v>
      </c>
      <c r="AQ31" s="43">
        <v>6.6699999999999995E-2</v>
      </c>
      <c r="AR31" s="43"/>
      <c r="AS31" s="43">
        <v>0.04</v>
      </c>
      <c r="AT31" s="43">
        <v>0.04</v>
      </c>
      <c r="AU31" s="43">
        <v>0.08</v>
      </c>
      <c r="AV31" s="43">
        <v>0.08</v>
      </c>
      <c r="AW31" s="43">
        <v>0.08</v>
      </c>
      <c r="AX31" s="43">
        <v>6.6699999999999995E-2</v>
      </c>
    </row>
    <row r="32" spans="1:50">
      <c r="A32" s="43">
        <v>14791</v>
      </c>
      <c r="B32" s="43" t="s">
        <v>111</v>
      </c>
      <c r="C32" s="43">
        <v>0.24</v>
      </c>
      <c r="D32" s="43">
        <v>0.21</v>
      </c>
      <c r="E32" s="43">
        <v>0.22</v>
      </c>
      <c r="F32" s="43">
        <v>0.17</v>
      </c>
      <c r="G32" s="43">
        <v>0.18</v>
      </c>
      <c r="H32" s="43">
        <v>0.20330000000000001</v>
      </c>
      <c r="I32" s="43"/>
      <c r="J32" s="43">
        <v>0.19</v>
      </c>
      <c r="K32" s="43">
        <v>0.24</v>
      </c>
      <c r="L32" s="43">
        <v>0.28999999999999998</v>
      </c>
      <c r="M32" s="43">
        <v>0.22</v>
      </c>
      <c r="N32" s="43">
        <v>0.17</v>
      </c>
      <c r="O32" s="43">
        <v>0.2167</v>
      </c>
      <c r="P32" s="43"/>
      <c r="Q32" s="43">
        <v>0.2</v>
      </c>
      <c r="R32" s="43">
        <v>0.33</v>
      </c>
      <c r="S32" s="43">
        <v>0.35</v>
      </c>
      <c r="T32" s="43">
        <v>0.21</v>
      </c>
      <c r="U32" s="43">
        <v>0.18</v>
      </c>
      <c r="V32" s="43">
        <v>0.2467</v>
      </c>
      <c r="W32" s="43"/>
      <c r="X32" s="43">
        <v>0.32</v>
      </c>
      <c r="Y32" s="43">
        <v>0.36</v>
      </c>
      <c r="Z32" s="43">
        <v>0.36</v>
      </c>
      <c r="AA32" s="43">
        <v>0.31</v>
      </c>
      <c r="AB32" s="43">
        <v>0.3</v>
      </c>
      <c r="AC32" s="43">
        <v>0.33</v>
      </c>
      <c r="AD32" s="43"/>
      <c r="AE32" s="43">
        <v>0.28999999999999998</v>
      </c>
      <c r="AF32" s="43">
        <v>0.33</v>
      </c>
      <c r="AG32" s="43">
        <v>0.37</v>
      </c>
      <c r="AH32" s="43">
        <v>0.34</v>
      </c>
      <c r="AI32" s="43">
        <v>0.3</v>
      </c>
      <c r="AJ32" s="43">
        <v>0.32329999999999998</v>
      </c>
      <c r="AK32" s="43"/>
      <c r="AL32" s="43">
        <v>0.22</v>
      </c>
      <c r="AM32" s="43">
        <v>0.25</v>
      </c>
      <c r="AN32" s="43">
        <v>0.25</v>
      </c>
      <c r="AO32" s="43">
        <v>0.24</v>
      </c>
      <c r="AP32" s="43">
        <v>0.23</v>
      </c>
      <c r="AQ32" s="43">
        <v>0.24</v>
      </c>
      <c r="AR32" s="43"/>
      <c r="AS32" s="43">
        <v>0.14000000000000001</v>
      </c>
      <c r="AT32" s="43">
        <v>0.21</v>
      </c>
      <c r="AU32" s="43">
        <v>0.19</v>
      </c>
      <c r="AV32" s="43">
        <v>0.14000000000000001</v>
      </c>
      <c r="AW32" s="43">
        <v>0.17</v>
      </c>
      <c r="AX32" s="43">
        <v>0.16669999999999999</v>
      </c>
    </row>
    <row r="33" spans="1:50">
      <c r="A33" s="43">
        <v>15049</v>
      </c>
      <c r="B33" s="43" t="s">
        <v>110</v>
      </c>
      <c r="C33" s="43">
        <v>3.65</v>
      </c>
      <c r="D33" s="43">
        <v>4.2300000000000004</v>
      </c>
      <c r="E33" s="43">
        <v>4.1100000000000003</v>
      </c>
      <c r="F33" s="43">
        <v>3.43</v>
      </c>
      <c r="G33" s="43">
        <v>3.53</v>
      </c>
      <c r="H33" s="43">
        <v>3.7633000000000001</v>
      </c>
      <c r="I33" s="43"/>
      <c r="J33" s="43">
        <v>3.98</v>
      </c>
      <c r="K33" s="43">
        <v>4.67</v>
      </c>
      <c r="L33" s="43">
        <v>4.8499999999999996</v>
      </c>
      <c r="M33" s="43">
        <v>3.98</v>
      </c>
      <c r="N33" s="43">
        <v>3.88</v>
      </c>
      <c r="O33" s="43">
        <v>4.21</v>
      </c>
      <c r="P33" s="43"/>
      <c r="Q33" s="43">
        <v>4.46</v>
      </c>
      <c r="R33" s="43">
        <v>4.78</v>
      </c>
      <c r="S33" s="43">
        <v>4.76</v>
      </c>
      <c r="T33" s="43">
        <v>4.82</v>
      </c>
      <c r="U33" s="43">
        <v>3.6</v>
      </c>
      <c r="V33" s="43">
        <v>4.6666999999999996</v>
      </c>
      <c r="W33" s="43"/>
      <c r="X33" s="43">
        <v>6.41</v>
      </c>
      <c r="Y33" s="43">
        <v>6.29</v>
      </c>
      <c r="Z33" s="43">
        <v>6.22</v>
      </c>
      <c r="AA33" s="43">
        <v>5.51</v>
      </c>
      <c r="AB33" s="43">
        <v>5.29</v>
      </c>
      <c r="AC33" s="43">
        <v>6.0067000000000004</v>
      </c>
      <c r="AD33" s="43"/>
      <c r="AE33" s="43">
        <v>5.96</v>
      </c>
      <c r="AF33" s="43">
        <v>5.6</v>
      </c>
      <c r="AG33" s="43">
        <v>5.47</v>
      </c>
      <c r="AH33" s="43">
        <v>5.48</v>
      </c>
      <c r="AI33" s="43">
        <v>6.28</v>
      </c>
      <c r="AJ33" s="43">
        <v>5.68</v>
      </c>
      <c r="AK33" s="43"/>
      <c r="AL33" s="43">
        <v>5.47</v>
      </c>
      <c r="AM33" s="43">
        <v>4.95</v>
      </c>
      <c r="AN33" s="43">
        <v>4.9800000000000004</v>
      </c>
      <c r="AO33" s="43">
        <v>5.61</v>
      </c>
      <c r="AP33" s="43">
        <v>5.45</v>
      </c>
      <c r="AQ33" s="43">
        <v>5.3</v>
      </c>
      <c r="AR33" s="43"/>
      <c r="AS33" s="43">
        <v>3.69</v>
      </c>
      <c r="AT33" s="43">
        <v>3.96</v>
      </c>
      <c r="AU33" s="43">
        <v>4.05</v>
      </c>
      <c r="AV33" s="43">
        <v>3.09</v>
      </c>
      <c r="AW33" s="43">
        <v>3.42</v>
      </c>
      <c r="AX33" s="43">
        <v>3.69</v>
      </c>
    </row>
    <row r="34" spans="1:50">
      <c r="A34" s="43">
        <v>15112</v>
      </c>
      <c r="B34" s="43" t="s">
        <v>164</v>
      </c>
      <c r="C34" s="43">
        <v>0.95</v>
      </c>
      <c r="D34" s="43">
        <v>1.1100000000000001</v>
      </c>
      <c r="E34" s="43">
        <v>1.07</v>
      </c>
      <c r="F34" s="43">
        <v>0.78</v>
      </c>
      <c r="G34" s="43">
        <v>0.9</v>
      </c>
      <c r="H34" s="43">
        <v>0.97330000000000005</v>
      </c>
      <c r="I34" s="43"/>
      <c r="J34" s="43">
        <v>1.1200000000000001</v>
      </c>
      <c r="K34" s="43">
        <v>1.17</v>
      </c>
      <c r="L34" s="43">
        <v>1.19</v>
      </c>
      <c r="M34" s="43">
        <v>0.98</v>
      </c>
      <c r="N34" s="43">
        <v>0.87</v>
      </c>
      <c r="O34" s="43">
        <v>1.0900000000000001</v>
      </c>
      <c r="P34" s="43"/>
      <c r="Q34" s="43">
        <v>1.1200000000000001</v>
      </c>
      <c r="R34" s="43">
        <v>1.34</v>
      </c>
      <c r="S34" s="43">
        <v>1.28</v>
      </c>
      <c r="T34" s="43">
        <v>1.1100000000000001</v>
      </c>
      <c r="U34" s="43">
        <v>0.85</v>
      </c>
      <c r="V34" s="43">
        <v>1.17</v>
      </c>
      <c r="W34" s="43"/>
      <c r="X34" s="43">
        <v>1.47</v>
      </c>
      <c r="Y34" s="43">
        <v>1.59</v>
      </c>
      <c r="Z34" s="43">
        <v>1.57</v>
      </c>
      <c r="AA34" s="43">
        <v>1.48</v>
      </c>
      <c r="AB34" s="43">
        <v>1.31</v>
      </c>
      <c r="AC34" s="43">
        <v>1.5066999999999999</v>
      </c>
      <c r="AD34" s="43"/>
      <c r="AE34" s="43">
        <v>1.55</v>
      </c>
      <c r="AF34" s="43">
        <v>1.47</v>
      </c>
      <c r="AG34" s="43">
        <v>1.44</v>
      </c>
      <c r="AH34" s="43">
        <v>1.44</v>
      </c>
      <c r="AI34" s="43">
        <v>1.47</v>
      </c>
      <c r="AJ34" s="43">
        <v>1.46</v>
      </c>
      <c r="AK34" s="43"/>
      <c r="AL34" s="43">
        <v>1.41</v>
      </c>
      <c r="AM34" s="43">
        <v>1.3</v>
      </c>
      <c r="AN34" s="43">
        <v>1.39</v>
      </c>
      <c r="AO34" s="43">
        <v>1.26</v>
      </c>
      <c r="AP34" s="43">
        <v>1.35</v>
      </c>
      <c r="AQ34" s="43">
        <v>1.3467</v>
      </c>
      <c r="AR34" s="43"/>
      <c r="AS34" s="43">
        <v>0.93</v>
      </c>
      <c r="AT34" s="43">
        <v>0.98</v>
      </c>
      <c r="AU34" s="43">
        <v>1.04</v>
      </c>
      <c r="AV34" s="43">
        <v>0.75</v>
      </c>
      <c r="AW34" s="43">
        <v>0.85</v>
      </c>
      <c r="AX34" s="43">
        <v>0.92</v>
      </c>
    </row>
    <row r="35" spans="1:50">
      <c r="A35" s="43">
        <v>15659</v>
      </c>
      <c r="B35" s="43" t="s">
        <v>131</v>
      </c>
      <c r="C35" s="43">
        <v>0.28000000000000003</v>
      </c>
      <c r="D35" s="43">
        <v>0.24</v>
      </c>
      <c r="E35" s="43">
        <v>0.26</v>
      </c>
      <c r="F35" s="43">
        <v>0.2</v>
      </c>
      <c r="G35" s="43">
        <v>0.23</v>
      </c>
      <c r="H35" s="43">
        <v>0.24329999999999999</v>
      </c>
      <c r="I35" s="43"/>
      <c r="J35" s="43">
        <v>0.25</v>
      </c>
      <c r="K35" s="43">
        <v>0.28000000000000003</v>
      </c>
      <c r="L35" s="43">
        <v>0.28999999999999998</v>
      </c>
      <c r="M35" s="43">
        <v>0.27</v>
      </c>
      <c r="N35" s="43">
        <v>0.21</v>
      </c>
      <c r="O35" s="43">
        <v>0.26669999999999999</v>
      </c>
      <c r="P35" s="43"/>
      <c r="Q35" s="43">
        <v>0.25</v>
      </c>
      <c r="R35" s="43">
        <v>0.33</v>
      </c>
      <c r="S35" s="43">
        <v>0.32</v>
      </c>
      <c r="T35" s="43">
        <v>0.28999999999999998</v>
      </c>
      <c r="U35" s="43">
        <v>0.22</v>
      </c>
      <c r="V35" s="43">
        <v>0.28670000000000001</v>
      </c>
      <c r="W35" s="43"/>
      <c r="X35" s="43">
        <v>0.38</v>
      </c>
      <c r="Y35" s="43">
        <v>0.37</v>
      </c>
      <c r="Z35" s="43">
        <v>0.39</v>
      </c>
      <c r="AA35" s="43">
        <v>0.37</v>
      </c>
      <c r="AB35" s="43">
        <v>0.36</v>
      </c>
      <c r="AC35" s="43">
        <v>0.37330000000000002</v>
      </c>
      <c r="AD35" s="43"/>
      <c r="AE35" s="43">
        <v>0.33</v>
      </c>
      <c r="AF35" s="43">
        <v>0.36</v>
      </c>
      <c r="AG35" s="43">
        <v>0.37</v>
      </c>
      <c r="AH35" s="43">
        <v>0.37</v>
      </c>
      <c r="AI35" s="43">
        <v>0.37</v>
      </c>
      <c r="AJ35" s="43">
        <v>0.36670000000000003</v>
      </c>
      <c r="AK35" s="43"/>
      <c r="AL35" s="43">
        <v>0.28999999999999998</v>
      </c>
      <c r="AM35" s="43">
        <v>0.28999999999999998</v>
      </c>
      <c r="AN35" s="43">
        <v>0.33</v>
      </c>
      <c r="AO35" s="43">
        <v>0.26</v>
      </c>
      <c r="AP35" s="43">
        <v>0.25</v>
      </c>
      <c r="AQ35" s="43">
        <v>0.28000000000000003</v>
      </c>
      <c r="AR35" s="43"/>
      <c r="AS35" s="43">
        <v>0.2</v>
      </c>
      <c r="AT35" s="43">
        <v>0.24</v>
      </c>
      <c r="AU35" s="43">
        <v>0.24</v>
      </c>
      <c r="AV35" s="43">
        <v>0.18</v>
      </c>
      <c r="AW35" s="43">
        <v>0.2</v>
      </c>
      <c r="AX35" s="43">
        <v>0.21329999999999999</v>
      </c>
    </row>
    <row r="36" spans="1:50">
      <c r="A36" s="43">
        <v>15733</v>
      </c>
      <c r="B36" s="43" t="s">
        <v>105</v>
      </c>
      <c r="C36" s="43">
        <v>0</v>
      </c>
      <c r="D36" s="43">
        <v>0.04</v>
      </c>
      <c r="E36" s="43">
        <v>0.17</v>
      </c>
      <c r="F36" s="43">
        <v>0.08</v>
      </c>
      <c r="G36" s="43">
        <v>0.04</v>
      </c>
      <c r="H36" s="43">
        <v>5.33E-2</v>
      </c>
      <c r="I36" s="43"/>
      <c r="J36" s="43">
        <v>0</v>
      </c>
      <c r="K36" s="43">
        <v>0.04</v>
      </c>
      <c r="L36" s="43">
        <v>0.08</v>
      </c>
      <c r="M36" s="43">
        <v>0</v>
      </c>
      <c r="N36" s="43">
        <v>0</v>
      </c>
      <c r="O36" s="43">
        <v>1.3299999999999999E-2</v>
      </c>
      <c r="P36" s="43"/>
      <c r="Q36" s="43">
        <v>0.17</v>
      </c>
      <c r="R36" s="43">
        <v>0.08</v>
      </c>
      <c r="S36" s="43">
        <v>0.13</v>
      </c>
      <c r="T36" s="43">
        <v>0.13</v>
      </c>
      <c r="U36" s="43">
        <v>0.04</v>
      </c>
      <c r="V36" s="43">
        <v>0.1133</v>
      </c>
      <c r="W36" s="43"/>
      <c r="X36" s="43">
        <v>0</v>
      </c>
      <c r="Y36" s="43">
        <v>0.08</v>
      </c>
      <c r="Z36" s="43">
        <v>0.21</v>
      </c>
      <c r="AA36" s="43">
        <v>0.04</v>
      </c>
      <c r="AB36" s="43">
        <v>0.17</v>
      </c>
      <c r="AC36" s="43">
        <v>9.6699999999999994E-2</v>
      </c>
      <c r="AD36" s="43"/>
      <c r="AE36" s="43">
        <v>0.13</v>
      </c>
      <c r="AF36" s="43">
        <v>0.04</v>
      </c>
      <c r="AG36" s="43">
        <v>0.08</v>
      </c>
      <c r="AH36" s="43">
        <v>0.08</v>
      </c>
      <c r="AI36" s="43">
        <v>0.08</v>
      </c>
      <c r="AJ36" s="43">
        <v>0.08</v>
      </c>
      <c r="AK36" s="43"/>
      <c r="AL36" s="43">
        <v>0.13</v>
      </c>
      <c r="AM36" s="43">
        <v>0.13</v>
      </c>
      <c r="AN36" s="43">
        <v>0.04</v>
      </c>
      <c r="AO36" s="43">
        <v>0.08</v>
      </c>
      <c r="AP36" s="43">
        <v>0.13</v>
      </c>
      <c r="AQ36" s="43">
        <v>0.1133</v>
      </c>
      <c r="AR36" s="43"/>
      <c r="AS36" s="43">
        <v>0.13</v>
      </c>
      <c r="AT36" s="43">
        <v>0.04</v>
      </c>
      <c r="AU36" s="43">
        <v>0</v>
      </c>
      <c r="AV36" s="43">
        <v>0.08</v>
      </c>
      <c r="AW36" s="43">
        <v>0.08</v>
      </c>
      <c r="AX36" s="43">
        <v>6.6699999999999995E-2</v>
      </c>
    </row>
    <row r="37" spans="1:50">
      <c r="A37" s="43">
        <v>15735</v>
      </c>
      <c r="B37" s="43" t="s">
        <v>100</v>
      </c>
      <c r="C37" s="43">
        <v>0.03</v>
      </c>
      <c r="D37" s="43">
        <v>0.13</v>
      </c>
      <c r="E37" s="43">
        <v>0.2</v>
      </c>
      <c r="F37" s="43">
        <v>0.03</v>
      </c>
      <c r="G37" s="43">
        <v>0.03</v>
      </c>
      <c r="H37" s="43">
        <v>6.3299999999999995E-2</v>
      </c>
      <c r="I37" s="43"/>
      <c r="J37" s="43">
        <v>7.0000000000000007E-2</v>
      </c>
      <c r="K37" s="43">
        <v>7.0000000000000007E-2</v>
      </c>
      <c r="L37" s="43">
        <v>7.0000000000000007E-2</v>
      </c>
      <c r="M37" s="43">
        <v>0.1</v>
      </c>
      <c r="N37" s="43">
        <v>7.0000000000000007E-2</v>
      </c>
      <c r="O37" s="43">
        <v>7.0000000000000007E-2</v>
      </c>
      <c r="P37" s="43"/>
      <c r="Q37" s="43">
        <v>7.0000000000000007E-2</v>
      </c>
      <c r="R37" s="43">
        <v>0.27</v>
      </c>
      <c r="S37" s="43">
        <v>0.13</v>
      </c>
      <c r="T37" s="43">
        <v>7.0000000000000007E-2</v>
      </c>
      <c r="U37" s="43">
        <v>0.03</v>
      </c>
      <c r="V37" s="43">
        <v>0.09</v>
      </c>
      <c r="W37" s="43"/>
      <c r="X37" s="43">
        <v>7.0000000000000007E-2</v>
      </c>
      <c r="Y37" s="43">
        <v>0.13</v>
      </c>
      <c r="Z37" s="43">
        <v>7.0000000000000007E-2</v>
      </c>
      <c r="AA37" s="43">
        <v>7.0000000000000007E-2</v>
      </c>
      <c r="AB37" s="43">
        <v>0.17</v>
      </c>
      <c r="AC37" s="43">
        <v>0.09</v>
      </c>
      <c r="AD37" s="43"/>
      <c r="AE37" s="43">
        <v>0.13</v>
      </c>
      <c r="AF37" s="43">
        <v>0.23</v>
      </c>
      <c r="AG37" s="43">
        <v>0.13</v>
      </c>
      <c r="AH37" s="43">
        <v>7.0000000000000007E-2</v>
      </c>
      <c r="AI37" s="43">
        <v>0.2</v>
      </c>
      <c r="AJ37" s="43">
        <v>0.15329999999999999</v>
      </c>
      <c r="AK37" s="43"/>
      <c r="AL37" s="43">
        <v>0.03</v>
      </c>
      <c r="AM37" s="43">
        <v>0.03</v>
      </c>
      <c r="AN37" s="43">
        <v>0.13</v>
      </c>
      <c r="AO37" s="43">
        <v>0.03</v>
      </c>
      <c r="AP37" s="43">
        <v>0.03</v>
      </c>
      <c r="AQ37" s="43">
        <v>0.03</v>
      </c>
      <c r="AR37" s="43"/>
      <c r="AS37" s="43">
        <v>0.1</v>
      </c>
      <c r="AT37" s="43">
        <v>0.03</v>
      </c>
      <c r="AU37" s="43">
        <v>7.0000000000000007E-2</v>
      </c>
      <c r="AV37" s="43">
        <v>7.0000000000000007E-2</v>
      </c>
      <c r="AW37" s="43">
        <v>0.17</v>
      </c>
      <c r="AX37" s="43">
        <v>0.08</v>
      </c>
    </row>
    <row r="38" spans="1:50">
      <c r="A38" s="43">
        <v>16235</v>
      </c>
      <c r="B38" s="43" t="s">
        <v>93</v>
      </c>
      <c r="C38" s="43">
        <v>0.17</v>
      </c>
      <c r="D38" s="43">
        <v>0.16</v>
      </c>
      <c r="E38" s="43">
        <v>0.15</v>
      </c>
      <c r="F38" s="43">
        <v>0.18</v>
      </c>
      <c r="G38" s="43">
        <v>0.23</v>
      </c>
      <c r="H38" s="43">
        <v>0.17</v>
      </c>
      <c r="I38" s="43"/>
      <c r="J38" s="43">
        <v>0.18</v>
      </c>
      <c r="K38" s="43">
        <v>0.3</v>
      </c>
      <c r="L38" s="43">
        <v>0.12</v>
      </c>
      <c r="M38" s="43">
        <v>0.31</v>
      </c>
      <c r="N38" s="43">
        <v>0.2</v>
      </c>
      <c r="O38" s="43">
        <v>0.22670000000000001</v>
      </c>
      <c r="P38" s="43"/>
      <c r="Q38" s="43">
        <v>0.25</v>
      </c>
      <c r="R38" s="43">
        <v>0.26</v>
      </c>
      <c r="S38" s="43">
        <v>0.2</v>
      </c>
      <c r="T38" s="43">
        <v>0.27</v>
      </c>
      <c r="U38" s="43">
        <v>0.21</v>
      </c>
      <c r="V38" s="43">
        <v>0.24</v>
      </c>
      <c r="W38" s="43"/>
      <c r="X38" s="43">
        <v>0.26</v>
      </c>
      <c r="Y38" s="43">
        <v>0.31</v>
      </c>
      <c r="Z38" s="43">
        <v>0.31</v>
      </c>
      <c r="AA38" s="43">
        <v>0.33</v>
      </c>
      <c r="AB38" s="43">
        <v>0.26</v>
      </c>
      <c r="AC38" s="43">
        <v>0.29330000000000001</v>
      </c>
      <c r="AD38" s="43"/>
      <c r="AE38" s="43">
        <v>0.37</v>
      </c>
      <c r="AF38" s="43">
        <v>0.31</v>
      </c>
      <c r="AG38" s="43">
        <v>0.16</v>
      </c>
      <c r="AH38" s="43">
        <v>0.26</v>
      </c>
      <c r="AI38" s="43">
        <v>0.23</v>
      </c>
      <c r="AJ38" s="43">
        <v>0.26669999999999999</v>
      </c>
      <c r="AK38" s="43"/>
      <c r="AL38" s="43">
        <v>0.26</v>
      </c>
      <c r="AM38" s="43">
        <v>0.18</v>
      </c>
      <c r="AN38" s="43">
        <v>0.16</v>
      </c>
      <c r="AO38" s="43">
        <v>0.19</v>
      </c>
      <c r="AP38" s="43">
        <v>0.21</v>
      </c>
      <c r="AQ38" s="43">
        <v>0.1933</v>
      </c>
      <c r="AR38" s="43"/>
      <c r="AS38" s="43">
        <v>0.15</v>
      </c>
      <c r="AT38" s="43">
        <v>0.18</v>
      </c>
      <c r="AU38" s="43">
        <v>0.23</v>
      </c>
      <c r="AV38" s="43">
        <v>0.15</v>
      </c>
      <c r="AW38" s="43">
        <v>0.18</v>
      </c>
      <c r="AX38" s="43">
        <v>0.17</v>
      </c>
    </row>
    <row r="39" spans="1:50">
      <c r="A39" s="43">
        <v>16520</v>
      </c>
      <c r="B39" s="43" t="s">
        <v>69</v>
      </c>
      <c r="C39" s="43">
        <v>0.08</v>
      </c>
      <c r="D39" s="43">
        <v>0.04</v>
      </c>
      <c r="E39" s="43">
        <v>0.13</v>
      </c>
      <c r="F39" s="43">
        <v>0.04</v>
      </c>
      <c r="G39" s="43">
        <v>0</v>
      </c>
      <c r="H39" s="43">
        <v>5.33E-2</v>
      </c>
      <c r="I39" s="43"/>
      <c r="J39" s="43">
        <v>0.17</v>
      </c>
      <c r="K39" s="43">
        <v>0</v>
      </c>
      <c r="L39" s="43">
        <v>0.04</v>
      </c>
      <c r="M39" s="43">
        <v>0</v>
      </c>
      <c r="N39" s="43">
        <v>0.04</v>
      </c>
      <c r="O39" s="43">
        <v>2.6700000000000002E-2</v>
      </c>
      <c r="P39" s="43"/>
      <c r="Q39" s="43">
        <v>0.08</v>
      </c>
      <c r="R39" s="43">
        <v>0.13</v>
      </c>
      <c r="S39" s="43">
        <v>0.04</v>
      </c>
      <c r="T39" s="43">
        <v>0</v>
      </c>
      <c r="U39" s="43">
        <v>0.04</v>
      </c>
      <c r="V39" s="43">
        <v>5.33E-2</v>
      </c>
      <c r="W39" s="43"/>
      <c r="X39" s="43">
        <v>0</v>
      </c>
      <c r="Y39" s="43">
        <v>0.08</v>
      </c>
      <c r="Z39" s="43">
        <v>0.17</v>
      </c>
      <c r="AA39" s="43">
        <v>0.08</v>
      </c>
      <c r="AB39" s="43">
        <v>0.04</v>
      </c>
      <c r="AC39" s="43">
        <v>6.6699999999999995E-2</v>
      </c>
      <c r="AD39" s="43"/>
      <c r="AE39" s="43">
        <v>0.13</v>
      </c>
      <c r="AF39" s="43">
        <v>0.04</v>
      </c>
      <c r="AG39" s="43">
        <v>0</v>
      </c>
      <c r="AH39" s="43">
        <v>0.04</v>
      </c>
      <c r="AI39" s="43">
        <v>0.04</v>
      </c>
      <c r="AJ39" s="43">
        <v>0.04</v>
      </c>
      <c r="AK39" s="43"/>
      <c r="AL39" s="43">
        <v>0.17</v>
      </c>
      <c r="AM39" s="43">
        <v>0.17</v>
      </c>
      <c r="AN39" s="43">
        <v>0.13</v>
      </c>
      <c r="AO39" s="43">
        <v>0.25</v>
      </c>
      <c r="AP39" s="43">
        <v>0.13</v>
      </c>
      <c r="AQ39" s="43">
        <v>0.15670000000000001</v>
      </c>
      <c r="AR39" s="43"/>
      <c r="AS39" s="43">
        <v>0</v>
      </c>
      <c r="AT39" s="43">
        <v>0.13</v>
      </c>
      <c r="AU39" s="43">
        <v>0.04</v>
      </c>
      <c r="AV39" s="43">
        <v>0</v>
      </c>
      <c r="AW39" s="43">
        <v>0.08</v>
      </c>
      <c r="AX39" s="43">
        <v>0.04</v>
      </c>
    </row>
    <row r="40" spans="1:50">
      <c r="A40" s="43">
        <v>16521</v>
      </c>
      <c r="B40" s="43" t="s">
        <v>87</v>
      </c>
      <c r="C40" s="43">
        <v>0.08</v>
      </c>
      <c r="D40" s="43">
        <v>0.08</v>
      </c>
      <c r="E40" s="43">
        <v>0.25</v>
      </c>
      <c r="F40" s="43">
        <v>0.13</v>
      </c>
      <c r="G40" s="43">
        <v>0.17</v>
      </c>
      <c r="H40" s="43">
        <v>0.12670000000000001</v>
      </c>
      <c r="I40" s="43"/>
      <c r="J40" s="43">
        <v>0.25</v>
      </c>
      <c r="K40" s="43">
        <v>0.25</v>
      </c>
      <c r="L40" s="43">
        <v>0.17</v>
      </c>
      <c r="M40" s="43">
        <v>0.17</v>
      </c>
      <c r="N40" s="43">
        <v>0.17</v>
      </c>
      <c r="O40" s="43">
        <v>0.19670000000000001</v>
      </c>
      <c r="P40" s="43"/>
      <c r="Q40" s="43">
        <v>0.13</v>
      </c>
      <c r="R40" s="43">
        <v>0.28999999999999998</v>
      </c>
      <c r="S40" s="43">
        <v>0.13</v>
      </c>
      <c r="T40" s="43">
        <v>0.04</v>
      </c>
      <c r="U40" s="43">
        <v>0.08</v>
      </c>
      <c r="V40" s="43">
        <v>0.1133</v>
      </c>
      <c r="W40" s="43"/>
      <c r="X40" s="43">
        <v>0.25</v>
      </c>
      <c r="Y40" s="43">
        <v>0.17</v>
      </c>
      <c r="Z40" s="43">
        <v>0.13</v>
      </c>
      <c r="AA40" s="43">
        <v>0.25</v>
      </c>
      <c r="AB40" s="43">
        <v>0.13</v>
      </c>
      <c r="AC40" s="43">
        <v>0.18329999999999999</v>
      </c>
      <c r="AD40" s="43"/>
      <c r="AE40" s="43">
        <v>0.17</v>
      </c>
      <c r="AF40" s="43">
        <v>0.13</v>
      </c>
      <c r="AG40" s="43">
        <v>0.17</v>
      </c>
      <c r="AH40" s="43">
        <v>0.25</v>
      </c>
      <c r="AI40" s="43">
        <v>0.28999999999999998</v>
      </c>
      <c r="AJ40" s="43">
        <v>0.19670000000000001</v>
      </c>
      <c r="AK40" s="43"/>
      <c r="AL40" s="43">
        <v>0.17</v>
      </c>
      <c r="AM40" s="43">
        <v>0.21</v>
      </c>
      <c r="AN40" s="43">
        <v>0.21</v>
      </c>
      <c r="AO40" s="43">
        <v>0.38</v>
      </c>
      <c r="AP40" s="43">
        <v>0.17</v>
      </c>
      <c r="AQ40" s="43">
        <v>0.19670000000000001</v>
      </c>
      <c r="AR40" s="43"/>
      <c r="AS40" s="43">
        <v>0.13</v>
      </c>
      <c r="AT40" s="43">
        <v>0.13</v>
      </c>
      <c r="AU40" s="43">
        <v>0</v>
      </c>
      <c r="AV40" s="43">
        <v>0.04</v>
      </c>
      <c r="AW40" s="43">
        <v>0.08</v>
      </c>
      <c r="AX40" s="43">
        <v>8.3299999999999999E-2</v>
      </c>
    </row>
    <row r="41" spans="1:50">
      <c r="A41" s="43">
        <v>16522</v>
      </c>
      <c r="B41" s="43" t="s">
        <v>101</v>
      </c>
      <c r="C41" s="43">
        <v>0.17</v>
      </c>
      <c r="D41" s="43">
        <v>0.13</v>
      </c>
      <c r="E41" s="43">
        <v>0.17</v>
      </c>
      <c r="F41" s="43">
        <v>0.04</v>
      </c>
      <c r="G41" s="43">
        <v>0.04</v>
      </c>
      <c r="H41" s="43">
        <v>0.1133</v>
      </c>
      <c r="I41" s="43"/>
      <c r="J41" s="43">
        <v>0.21</v>
      </c>
      <c r="K41" s="43">
        <v>0.25</v>
      </c>
      <c r="L41" s="43">
        <v>0.17</v>
      </c>
      <c r="M41" s="43">
        <v>0.04</v>
      </c>
      <c r="N41" s="43">
        <v>0.04</v>
      </c>
      <c r="O41" s="43">
        <v>0.14000000000000001</v>
      </c>
      <c r="P41" s="43"/>
      <c r="Q41" s="43">
        <v>0.17</v>
      </c>
      <c r="R41" s="43">
        <v>0.17</v>
      </c>
      <c r="S41" s="43">
        <v>0.13</v>
      </c>
      <c r="T41" s="43">
        <v>0</v>
      </c>
      <c r="U41" s="43">
        <v>0</v>
      </c>
      <c r="V41" s="43">
        <v>0.1</v>
      </c>
      <c r="W41" s="43"/>
      <c r="X41" s="43">
        <v>0.04</v>
      </c>
      <c r="Y41" s="43">
        <v>0.08</v>
      </c>
      <c r="Z41" s="43">
        <v>0.08</v>
      </c>
      <c r="AA41" s="43">
        <v>0.04</v>
      </c>
      <c r="AB41" s="43">
        <v>0.04</v>
      </c>
      <c r="AC41" s="43">
        <v>5.33E-2</v>
      </c>
      <c r="AD41" s="43"/>
      <c r="AE41" s="43">
        <v>0.17</v>
      </c>
      <c r="AF41" s="43">
        <v>0</v>
      </c>
      <c r="AG41" s="43">
        <v>0</v>
      </c>
      <c r="AH41" s="43">
        <v>0.17</v>
      </c>
      <c r="AI41" s="43">
        <v>0.08</v>
      </c>
      <c r="AJ41" s="43">
        <v>8.3299999999999999E-2</v>
      </c>
      <c r="AK41" s="43"/>
      <c r="AL41" s="43">
        <v>0.13</v>
      </c>
      <c r="AM41" s="43">
        <v>0.13</v>
      </c>
      <c r="AN41" s="43">
        <v>0</v>
      </c>
      <c r="AO41" s="43">
        <v>0.17</v>
      </c>
      <c r="AP41" s="43">
        <v>0.08</v>
      </c>
      <c r="AQ41" s="43">
        <v>0.1133</v>
      </c>
      <c r="AR41" s="43"/>
      <c r="AS41" s="43">
        <v>0.08</v>
      </c>
      <c r="AT41" s="43">
        <v>0.04</v>
      </c>
      <c r="AU41" s="43">
        <v>0.04</v>
      </c>
      <c r="AV41" s="43">
        <v>0.08</v>
      </c>
      <c r="AW41" s="43">
        <v>0.21</v>
      </c>
      <c r="AX41" s="43">
        <v>6.6699999999999995E-2</v>
      </c>
    </row>
    <row r="42" spans="1:50">
      <c r="A42" s="43">
        <v>16523</v>
      </c>
      <c r="B42" s="43" t="s">
        <v>103</v>
      </c>
      <c r="C42" s="43">
        <v>0.08</v>
      </c>
      <c r="D42" s="43">
        <v>0.08</v>
      </c>
      <c r="E42" s="43">
        <v>0.08</v>
      </c>
      <c r="F42" s="43">
        <v>0.04</v>
      </c>
      <c r="G42" s="43">
        <v>0.04</v>
      </c>
      <c r="H42" s="43">
        <v>6.6699999999999995E-2</v>
      </c>
      <c r="I42" s="43"/>
      <c r="J42" s="43">
        <v>0.08</v>
      </c>
      <c r="K42" s="43">
        <v>0.21</v>
      </c>
      <c r="L42" s="43">
        <v>0</v>
      </c>
      <c r="M42" s="43">
        <v>0</v>
      </c>
      <c r="N42" s="43">
        <v>0.17</v>
      </c>
      <c r="O42" s="43">
        <v>8.3299999999999999E-2</v>
      </c>
      <c r="P42" s="43"/>
      <c r="Q42" s="43">
        <v>0.04</v>
      </c>
      <c r="R42" s="43">
        <v>0.13</v>
      </c>
      <c r="S42" s="43">
        <v>0.04</v>
      </c>
      <c r="T42" s="43">
        <v>0.13</v>
      </c>
      <c r="U42" s="43">
        <v>0</v>
      </c>
      <c r="V42" s="43">
        <v>7.0000000000000007E-2</v>
      </c>
      <c r="W42" s="43"/>
      <c r="X42" s="43">
        <v>0</v>
      </c>
      <c r="Y42" s="43">
        <v>0.04</v>
      </c>
      <c r="Z42" s="43">
        <v>0.13</v>
      </c>
      <c r="AA42" s="43">
        <v>0.04</v>
      </c>
      <c r="AB42" s="43">
        <v>0.08</v>
      </c>
      <c r="AC42" s="43">
        <v>5.33E-2</v>
      </c>
      <c r="AD42" s="43"/>
      <c r="AE42" s="43">
        <v>0.17</v>
      </c>
      <c r="AF42" s="43">
        <v>0.08</v>
      </c>
      <c r="AG42" s="43">
        <v>0.08</v>
      </c>
      <c r="AH42" s="43">
        <v>0.08</v>
      </c>
      <c r="AI42" s="43">
        <v>0.08</v>
      </c>
      <c r="AJ42" s="43">
        <v>0.08</v>
      </c>
      <c r="AK42" s="43"/>
      <c r="AL42" s="43">
        <v>0</v>
      </c>
      <c r="AM42" s="43">
        <v>0.13</v>
      </c>
      <c r="AN42" s="43">
        <v>0</v>
      </c>
      <c r="AO42" s="43">
        <v>0.13</v>
      </c>
      <c r="AP42" s="43">
        <v>0.13</v>
      </c>
      <c r="AQ42" s="43">
        <v>8.6699999999999999E-2</v>
      </c>
      <c r="AR42" s="43"/>
      <c r="AS42" s="43">
        <v>0.08</v>
      </c>
      <c r="AT42" s="43">
        <v>0.08</v>
      </c>
      <c r="AU42" s="43">
        <v>0</v>
      </c>
      <c r="AV42" s="43">
        <v>0</v>
      </c>
      <c r="AW42" s="43">
        <v>0.04</v>
      </c>
      <c r="AX42" s="43">
        <v>0.04</v>
      </c>
    </row>
    <row r="43" spans="1:50">
      <c r="A43" s="43">
        <v>16524</v>
      </c>
      <c r="B43" s="43" t="s">
        <v>104</v>
      </c>
      <c r="C43" s="43">
        <v>0.02</v>
      </c>
      <c r="D43" s="43">
        <v>0.02</v>
      </c>
      <c r="E43" s="43">
        <v>0.02</v>
      </c>
      <c r="F43" s="43">
        <v>0.01</v>
      </c>
      <c r="G43" s="43">
        <v>0</v>
      </c>
      <c r="H43" s="43">
        <v>1.67E-2</v>
      </c>
      <c r="I43" s="43"/>
      <c r="J43" s="43">
        <v>0.02</v>
      </c>
      <c r="K43" s="43">
        <v>0.05</v>
      </c>
      <c r="L43" s="43">
        <v>0.01</v>
      </c>
      <c r="M43" s="43">
        <v>0.03</v>
      </c>
      <c r="N43" s="43">
        <v>0.01</v>
      </c>
      <c r="O43" s="43">
        <v>0.02</v>
      </c>
      <c r="P43" s="43"/>
      <c r="Q43" s="43">
        <v>0.02</v>
      </c>
      <c r="R43" s="43">
        <v>0.03</v>
      </c>
      <c r="S43" s="43">
        <v>0.03</v>
      </c>
      <c r="T43" s="43">
        <v>0.03</v>
      </c>
      <c r="U43" s="43">
        <v>0.01</v>
      </c>
      <c r="V43" s="43">
        <v>2.6700000000000002E-2</v>
      </c>
      <c r="W43" s="43"/>
      <c r="X43" s="43">
        <v>0.05</v>
      </c>
      <c r="Y43" s="43">
        <v>0.03</v>
      </c>
      <c r="Z43" s="43">
        <v>0.04</v>
      </c>
      <c r="AA43" s="43">
        <v>0.05</v>
      </c>
      <c r="AB43" s="43">
        <v>0</v>
      </c>
      <c r="AC43" s="43">
        <v>0.04</v>
      </c>
      <c r="AD43" s="43"/>
      <c r="AE43" s="43">
        <v>0.03</v>
      </c>
      <c r="AF43" s="43">
        <v>0.03</v>
      </c>
      <c r="AG43" s="43">
        <v>0.05</v>
      </c>
      <c r="AH43" s="43">
        <v>0.01</v>
      </c>
      <c r="AI43" s="43">
        <v>0.02</v>
      </c>
      <c r="AJ43" s="43">
        <v>2.6700000000000002E-2</v>
      </c>
      <c r="AK43" s="43"/>
      <c r="AL43" s="43">
        <v>0.04</v>
      </c>
      <c r="AM43" s="43">
        <v>0.02</v>
      </c>
      <c r="AN43" s="43">
        <v>0.03</v>
      </c>
      <c r="AO43" s="43">
        <v>0.02</v>
      </c>
      <c r="AP43" s="43">
        <v>0.02</v>
      </c>
      <c r="AQ43" s="43">
        <v>2.3300000000000001E-2</v>
      </c>
      <c r="AR43" s="43"/>
      <c r="AS43" s="43">
        <v>0.01</v>
      </c>
      <c r="AT43" s="43">
        <v>0.01</v>
      </c>
      <c r="AU43" s="43">
        <v>0.01</v>
      </c>
      <c r="AV43" s="43">
        <v>0.02</v>
      </c>
      <c r="AW43" s="43">
        <v>0.03</v>
      </c>
      <c r="AX43" s="43">
        <v>1.3299999999999999E-2</v>
      </c>
    </row>
    <row r="44" spans="1:50">
      <c r="A44" s="43">
        <v>16525</v>
      </c>
      <c r="B44" s="43" t="s">
        <v>102</v>
      </c>
      <c r="C44" s="43">
        <v>0.02</v>
      </c>
      <c r="D44" s="43">
        <v>0.03</v>
      </c>
      <c r="E44" s="43">
        <v>0.05</v>
      </c>
      <c r="F44" s="43">
        <v>0.06</v>
      </c>
      <c r="G44" s="43">
        <v>0.02</v>
      </c>
      <c r="H44" s="43">
        <v>3.3300000000000003E-2</v>
      </c>
      <c r="I44" s="43"/>
      <c r="J44" s="43">
        <v>0.05</v>
      </c>
      <c r="K44" s="43">
        <v>0.04</v>
      </c>
      <c r="L44" s="43">
        <v>0.03</v>
      </c>
      <c r="M44" s="43">
        <v>0.01</v>
      </c>
      <c r="N44" s="43">
        <v>0.04</v>
      </c>
      <c r="O44" s="43">
        <v>3.6700000000000003E-2</v>
      </c>
      <c r="P44" s="43"/>
      <c r="Q44" s="43">
        <v>0.03</v>
      </c>
      <c r="R44" s="43">
        <v>0.04</v>
      </c>
      <c r="S44" s="43">
        <v>0.06</v>
      </c>
      <c r="T44" s="43">
        <v>0.02</v>
      </c>
      <c r="U44" s="43">
        <v>0.06</v>
      </c>
      <c r="V44" s="43">
        <v>4.3299999999999998E-2</v>
      </c>
      <c r="W44" s="43"/>
      <c r="X44" s="43">
        <v>0.06</v>
      </c>
      <c r="Y44" s="43">
        <v>0.03</v>
      </c>
      <c r="Z44" s="43">
        <v>0.06</v>
      </c>
      <c r="AA44" s="43">
        <v>0.03</v>
      </c>
      <c r="AB44" s="43">
        <v>0.05</v>
      </c>
      <c r="AC44" s="43">
        <v>4.6699999999999998E-2</v>
      </c>
      <c r="AD44" s="43"/>
      <c r="AE44" s="43">
        <v>0.01</v>
      </c>
      <c r="AF44" s="43">
        <v>7.0000000000000007E-2</v>
      </c>
      <c r="AG44" s="43">
        <v>0.05</v>
      </c>
      <c r="AH44" s="43">
        <v>0.02</v>
      </c>
      <c r="AI44" s="43">
        <v>0.04</v>
      </c>
      <c r="AJ44" s="43">
        <v>3.6700000000000003E-2</v>
      </c>
      <c r="AK44" s="43"/>
      <c r="AL44" s="43">
        <v>0.05</v>
      </c>
      <c r="AM44" s="43">
        <v>0.04</v>
      </c>
      <c r="AN44" s="43">
        <v>0.03</v>
      </c>
      <c r="AO44" s="43">
        <v>0.03</v>
      </c>
      <c r="AP44" s="43">
        <v>0.03</v>
      </c>
      <c r="AQ44" s="43">
        <v>3.3300000000000003E-2</v>
      </c>
      <c r="AR44" s="43"/>
      <c r="AS44" s="43">
        <v>0</v>
      </c>
      <c r="AT44" s="43">
        <v>0.02</v>
      </c>
      <c r="AU44" s="43">
        <v>0.04</v>
      </c>
      <c r="AV44" s="43">
        <v>0.03</v>
      </c>
      <c r="AW44" s="43">
        <v>0.01</v>
      </c>
      <c r="AX44" s="43">
        <v>0.02</v>
      </c>
    </row>
    <row r="45" spans="1:50">
      <c r="A45" s="43">
        <v>20295</v>
      </c>
      <c r="B45" s="43" t="s">
        <v>113</v>
      </c>
      <c r="C45" s="43">
        <v>0.01</v>
      </c>
      <c r="D45" s="43">
        <v>0</v>
      </c>
      <c r="E45" s="43">
        <v>0.01</v>
      </c>
      <c r="F45" s="43">
        <v>0</v>
      </c>
      <c r="G45" s="43">
        <v>0</v>
      </c>
      <c r="H45" s="43">
        <v>3.3E-3</v>
      </c>
      <c r="I45" s="43"/>
      <c r="J45" s="43">
        <v>0.01</v>
      </c>
      <c r="K45" s="43">
        <v>0</v>
      </c>
      <c r="L45" s="43">
        <v>0</v>
      </c>
      <c r="M45" s="43">
        <v>0</v>
      </c>
      <c r="N45" s="43">
        <v>0.01</v>
      </c>
      <c r="O45" s="43">
        <v>3.3E-3</v>
      </c>
      <c r="P45" s="43"/>
      <c r="Q45" s="43">
        <v>0.01</v>
      </c>
      <c r="R45" s="43">
        <v>0</v>
      </c>
      <c r="S45" s="43">
        <v>0.01</v>
      </c>
      <c r="T45" s="43">
        <v>0</v>
      </c>
      <c r="U45" s="43">
        <v>0</v>
      </c>
      <c r="V45" s="43">
        <v>3.3E-3</v>
      </c>
      <c r="W45" s="43"/>
      <c r="X45" s="43">
        <v>0.01</v>
      </c>
      <c r="Y45" s="43">
        <v>0.01</v>
      </c>
      <c r="Z45" s="43">
        <v>0.02</v>
      </c>
      <c r="AA45" s="43">
        <v>0.01</v>
      </c>
      <c r="AB45" s="43">
        <v>0</v>
      </c>
      <c r="AC45" s="43">
        <v>0.01</v>
      </c>
      <c r="AD45" s="43"/>
      <c r="AE45" s="43">
        <v>0.01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/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/>
      <c r="AS45" s="43">
        <v>0</v>
      </c>
      <c r="AT45" s="43">
        <v>0</v>
      </c>
      <c r="AU45" s="43">
        <v>0.01</v>
      </c>
      <c r="AV45" s="43">
        <v>0</v>
      </c>
      <c r="AW45" s="43">
        <v>0</v>
      </c>
      <c r="AX45" s="43">
        <v>0</v>
      </c>
    </row>
    <row r="46" spans="1:50">
      <c r="A46" s="43">
        <v>33312</v>
      </c>
      <c r="B46" s="43" t="s">
        <v>129</v>
      </c>
      <c r="C46" s="43">
        <v>0.42</v>
      </c>
      <c r="D46" s="43">
        <v>0.51</v>
      </c>
      <c r="E46" s="43">
        <v>0.51</v>
      </c>
      <c r="F46" s="43">
        <v>0.41</v>
      </c>
      <c r="G46" s="43">
        <v>0.44</v>
      </c>
      <c r="H46" s="43">
        <v>0.45669999999999999</v>
      </c>
      <c r="I46" s="43"/>
      <c r="J46" s="43">
        <v>0.51</v>
      </c>
      <c r="K46" s="43">
        <v>0.57999999999999996</v>
      </c>
      <c r="L46" s="43">
        <v>0.57999999999999996</v>
      </c>
      <c r="M46" s="43">
        <v>0.48</v>
      </c>
      <c r="N46" s="43">
        <v>0.44</v>
      </c>
      <c r="O46" s="43">
        <v>0.52329999999999999</v>
      </c>
      <c r="P46" s="43"/>
      <c r="Q46" s="43">
        <v>0.53</v>
      </c>
      <c r="R46" s="43">
        <v>0.57999999999999996</v>
      </c>
      <c r="S46" s="43">
        <v>0.54</v>
      </c>
      <c r="T46" s="43">
        <v>0.55000000000000004</v>
      </c>
      <c r="U46" s="43">
        <v>0.44</v>
      </c>
      <c r="V46" s="43">
        <v>0.54</v>
      </c>
      <c r="W46" s="43"/>
      <c r="X46" s="43">
        <v>0.75</v>
      </c>
      <c r="Y46" s="43">
        <v>0.73</v>
      </c>
      <c r="Z46" s="43">
        <v>0.74</v>
      </c>
      <c r="AA46" s="43">
        <v>0.69</v>
      </c>
      <c r="AB46" s="43">
        <v>0.62</v>
      </c>
      <c r="AC46" s="43">
        <v>0.72</v>
      </c>
      <c r="AD46" s="43"/>
      <c r="AE46" s="43">
        <v>0.72</v>
      </c>
      <c r="AF46" s="43">
        <v>0.67</v>
      </c>
      <c r="AG46" s="43">
        <v>0.66</v>
      </c>
      <c r="AH46" s="43">
        <v>0.69</v>
      </c>
      <c r="AI46" s="43">
        <v>0.71</v>
      </c>
      <c r="AJ46" s="43">
        <v>0.69</v>
      </c>
      <c r="AK46" s="43"/>
      <c r="AL46" s="43">
        <v>0.66</v>
      </c>
      <c r="AM46" s="43">
        <v>0.6</v>
      </c>
      <c r="AN46" s="43">
        <v>0.64</v>
      </c>
      <c r="AO46" s="43">
        <v>0.64</v>
      </c>
      <c r="AP46" s="43">
        <v>0.63</v>
      </c>
      <c r="AQ46" s="43">
        <v>0.63670000000000004</v>
      </c>
      <c r="AR46" s="43"/>
      <c r="AS46" s="43">
        <v>0.45</v>
      </c>
      <c r="AT46" s="43">
        <v>0.47</v>
      </c>
      <c r="AU46" s="43">
        <v>0.51</v>
      </c>
      <c r="AV46" s="43">
        <v>0.38</v>
      </c>
      <c r="AW46" s="43">
        <v>0.41</v>
      </c>
      <c r="AX46" s="43">
        <v>0.44330000000000003</v>
      </c>
    </row>
    <row r="47" spans="1:50">
      <c r="A47" s="43">
        <v>34210</v>
      </c>
      <c r="B47" s="43" t="s">
        <v>154</v>
      </c>
      <c r="C47" s="43">
        <v>0.01</v>
      </c>
      <c r="D47" s="43">
        <v>0.02</v>
      </c>
      <c r="E47" s="43">
        <v>0.01</v>
      </c>
      <c r="F47" s="43">
        <v>0</v>
      </c>
      <c r="G47" s="43">
        <v>0.01</v>
      </c>
      <c r="H47" s="43">
        <v>0.01</v>
      </c>
      <c r="I47" s="43"/>
      <c r="J47" s="43">
        <v>0.01</v>
      </c>
      <c r="K47" s="43">
        <v>0.01</v>
      </c>
      <c r="L47" s="43">
        <v>0.02</v>
      </c>
      <c r="M47" s="43">
        <v>0.01</v>
      </c>
      <c r="N47" s="43">
        <v>0.01</v>
      </c>
      <c r="O47" s="43">
        <v>0.01</v>
      </c>
      <c r="P47" s="43"/>
      <c r="Q47" s="43">
        <v>0.01</v>
      </c>
      <c r="R47" s="43">
        <v>0.01</v>
      </c>
      <c r="S47" s="43">
        <v>0.01</v>
      </c>
      <c r="T47" s="43">
        <v>0.01</v>
      </c>
      <c r="U47" s="43">
        <v>0</v>
      </c>
      <c r="V47" s="43">
        <v>0.01</v>
      </c>
      <c r="W47" s="43"/>
      <c r="X47" s="43">
        <v>0.01</v>
      </c>
      <c r="Y47" s="43">
        <v>0.02</v>
      </c>
      <c r="Z47" s="43">
        <v>0.01</v>
      </c>
      <c r="AA47" s="43">
        <v>0.02</v>
      </c>
      <c r="AB47" s="43">
        <v>0.02</v>
      </c>
      <c r="AC47" s="43">
        <v>1.67E-2</v>
      </c>
      <c r="AD47" s="43"/>
      <c r="AE47" s="43">
        <v>0.02</v>
      </c>
      <c r="AF47" s="43">
        <v>0.01</v>
      </c>
      <c r="AG47" s="43">
        <v>0.01</v>
      </c>
      <c r="AH47" s="43">
        <v>0.01</v>
      </c>
      <c r="AI47" s="43">
        <v>0.02</v>
      </c>
      <c r="AJ47" s="43">
        <v>1.3299999999999999E-2</v>
      </c>
      <c r="AK47" s="43"/>
      <c r="AL47" s="43">
        <v>0.01</v>
      </c>
      <c r="AM47" s="43">
        <v>0.01</v>
      </c>
      <c r="AN47" s="43">
        <v>0.02</v>
      </c>
      <c r="AO47" s="43">
        <v>0</v>
      </c>
      <c r="AP47" s="43">
        <v>0.02</v>
      </c>
      <c r="AQ47" s="43">
        <v>1.3299999999999999E-2</v>
      </c>
      <c r="AR47" s="43"/>
      <c r="AS47" s="43">
        <v>0.02</v>
      </c>
      <c r="AT47" s="43">
        <v>0</v>
      </c>
      <c r="AU47" s="43">
        <v>0</v>
      </c>
      <c r="AV47" s="43">
        <v>0.01</v>
      </c>
      <c r="AW47" s="43">
        <v>0.01</v>
      </c>
      <c r="AX47" s="43">
        <v>6.7000000000000002E-3</v>
      </c>
    </row>
    <row r="48" spans="1:50">
      <c r="A48" s="43">
        <v>36128</v>
      </c>
      <c r="B48" s="43" t="s">
        <v>79</v>
      </c>
      <c r="C48" s="43">
        <v>0.04</v>
      </c>
      <c r="D48" s="43">
        <v>0.03</v>
      </c>
      <c r="E48" s="43">
        <v>0.02</v>
      </c>
      <c r="F48" s="43">
        <v>0.01</v>
      </c>
      <c r="G48" s="43">
        <v>0.03</v>
      </c>
      <c r="H48" s="43">
        <v>2.6700000000000002E-2</v>
      </c>
      <c r="I48" s="43"/>
      <c r="J48" s="43">
        <v>0.03</v>
      </c>
      <c r="K48" s="43">
        <v>0.04</v>
      </c>
      <c r="L48" s="43">
        <v>0.05</v>
      </c>
      <c r="M48" s="43">
        <v>0.03</v>
      </c>
      <c r="N48" s="43">
        <v>0.02</v>
      </c>
      <c r="O48" s="43">
        <v>3.3300000000000003E-2</v>
      </c>
      <c r="P48" s="43"/>
      <c r="Q48" s="43">
        <v>0.01</v>
      </c>
      <c r="R48" s="43">
        <v>0.03</v>
      </c>
      <c r="S48" s="43">
        <v>0.03</v>
      </c>
      <c r="T48" s="43">
        <v>0.01</v>
      </c>
      <c r="U48" s="43">
        <v>0.03</v>
      </c>
      <c r="V48" s="43">
        <v>2.3300000000000001E-2</v>
      </c>
      <c r="W48" s="43"/>
      <c r="X48" s="43">
        <v>0.04</v>
      </c>
      <c r="Y48" s="43">
        <v>7.0000000000000007E-2</v>
      </c>
      <c r="Z48" s="43">
        <v>0.05</v>
      </c>
      <c r="AA48" s="43">
        <v>0.04</v>
      </c>
      <c r="AB48" s="43">
        <v>0.01</v>
      </c>
      <c r="AC48" s="43">
        <v>4.3299999999999998E-2</v>
      </c>
      <c r="AD48" s="43"/>
      <c r="AE48" s="43">
        <v>0.04</v>
      </c>
      <c r="AF48" s="43">
        <v>0.03</v>
      </c>
      <c r="AG48" s="43">
        <v>0.01</v>
      </c>
      <c r="AH48" s="43">
        <v>0.01</v>
      </c>
      <c r="AI48" s="43">
        <v>0.03</v>
      </c>
      <c r="AJ48" s="43">
        <v>2.3300000000000001E-2</v>
      </c>
      <c r="AK48" s="43"/>
      <c r="AL48" s="43">
        <v>0.04</v>
      </c>
      <c r="AM48" s="43">
        <v>0.03</v>
      </c>
      <c r="AN48" s="43">
        <v>0.04</v>
      </c>
      <c r="AO48" s="43">
        <v>0.08</v>
      </c>
      <c r="AP48" s="43">
        <v>0.01</v>
      </c>
      <c r="AQ48" s="43">
        <v>3.6700000000000003E-2</v>
      </c>
      <c r="AR48" s="43"/>
      <c r="AS48" s="43">
        <v>0.01</v>
      </c>
      <c r="AT48" s="43">
        <v>0.03</v>
      </c>
      <c r="AU48" s="43">
        <v>0.03</v>
      </c>
      <c r="AV48" s="43">
        <v>0.01</v>
      </c>
      <c r="AW48" s="43">
        <v>0.01</v>
      </c>
      <c r="AX48" s="43">
        <v>1.67E-2</v>
      </c>
    </row>
    <row r="49" spans="1:50">
      <c r="A49" s="43">
        <v>36224</v>
      </c>
      <c r="B49" s="43" t="s">
        <v>77</v>
      </c>
      <c r="C49" s="43">
        <v>0.01</v>
      </c>
      <c r="D49" s="43">
        <v>0.01</v>
      </c>
      <c r="E49" s="43">
        <v>0.01</v>
      </c>
      <c r="F49" s="43">
        <v>0.03</v>
      </c>
      <c r="G49" s="43">
        <v>0.01</v>
      </c>
      <c r="H49" s="43">
        <v>0.01</v>
      </c>
      <c r="I49" s="43"/>
      <c r="J49" s="43">
        <v>0.01</v>
      </c>
      <c r="K49" s="43">
        <v>0.03</v>
      </c>
      <c r="L49" s="43">
        <v>0.01</v>
      </c>
      <c r="M49" s="43">
        <v>0.01</v>
      </c>
      <c r="N49" s="43">
        <v>0</v>
      </c>
      <c r="O49" s="43">
        <v>0.01</v>
      </c>
      <c r="P49" s="43"/>
      <c r="Q49" s="43">
        <v>0.03</v>
      </c>
      <c r="R49" s="43">
        <v>0.01</v>
      </c>
      <c r="S49" s="43">
        <v>0.01</v>
      </c>
      <c r="T49" s="43">
        <v>0.01</v>
      </c>
      <c r="U49" s="43">
        <v>0.03</v>
      </c>
      <c r="V49" s="43">
        <v>1.67E-2</v>
      </c>
      <c r="W49" s="43"/>
      <c r="X49" s="43">
        <v>0.04</v>
      </c>
      <c r="Y49" s="43">
        <v>0.04</v>
      </c>
      <c r="Z49" s="43">
        <v>0.03</v>
      </c>
      <c r="AA49" s="43">
        <v>0.03</v>
      </c>
      <c r="AB49" s="43">
        <v>0.04</v>
      </c>
      <c r="AC49" s="43">
        <v>3.6700000000000003E-2</v>
      </c>
      <c r="AD49" s="43"/>
      <c r="AE49" s="43">
        <v>0</v>
      </c>
      <c r="AF49" s="43">
        <v>0.03</v>
      </c>
      <c r="AG49" s="43">
        <v>0.03</v>
      </c>
      <c r="AH49" s="43">
        <v>0.01</v>
      </c>
      <c r="AI49" s="43">
        <v>0.03</v>
      </c>
      <c r="AJ49" s="43">
        <v>2.3300000000000001E-2</v>
      </c>
      <c r="AK49" s="43"/>
      <c r="AL49" s="43">
        <v>0</v>
      </c>
      <c r="AM49" s="43">
        <v>0.02</v>
      </c>
      <c r="AN49" s="43">
        <v>0.01</v>
      </c>
      <c r="AO49" s="43">
        <v>0.02</v>
      </c>
      <c r="AP49" s="43">
        <v>0.02</v>
      </c>
      <c r="AQ49" s="43">
        <v>1.67E-2</v>
      </c>
      <c r="AR49" s="43"/>
      <c r="AS49" s="43">
        <v>0</v>
      </c>
      <c r="AT49" s="43">
        <v>0.02</v>
      </c>
      <c r="AU49" s="43">
        <v>0.01</v>
      </c>
      <c r="AV49" s="43">
        <v>0.01</v>
      </c>
      <c r="AW49" s="43">
        <v>0.01</v>
      </c>
      <c r="AX49" s="43">
        <v>0.01</v>
      </c>
    </row>
    <row r="50" spans="1:50">
      <c r="A50" s="43">
        <v>36549</v>
      </c>
      <c r="B50" s="43" t="s">
        <v>127</v>
      </c>
      <c r="C50" s="43">
        <v>0.09</v>
      </c>
      <c r="D50" s="43">
        <v>0.11</v>
      </c>
      <c r="E50" s="43">
        <v>0.11</v>
      </c>
      <c r="F50" s="43">
        <v>0.08</v>
      </c>
      <c r="G50" s="43">
        <v>0.09</v>
      </c>
      <c r="H50" s="43">
        <v>9.6699999999999994E-2</v>
      </c>
      <c r="I50" s="43"/>
      <c r="J50" s="43">
        <v>0.11</v>
      </c>
      <c r="K50" s="43">
        <v>0.12</v>
      </c>
      <c r="L50" s="43">
        <v>0.13</v>
      </c>
      <c r="M50" s="43">
        <v>0.1</v>
      </c>
      <c r="N50" s="43">
        <v>0.09</v>
      </c>
      <c r="O50" s="43">
        <v>0.11</v>
      </c>
      <c r="P50" s="43"/>
      <c r="Q50" s="43">
        <v>0.11</v>
      </c>
      <c r="R50" s="43">
        <v>0.12</v>
      </c>
      <c r="S50" s="43">
        <v>0.12</v>
      </c>
      <c r="T50" s="43">
        <v>0.11</v>
      </c>
      <c r="U50" s="43">
        <v>0.09</v>
      </c>
      <c r="V50" s="43">
        <v>0.1133</v>
      </c>
      <c r="W50" s="43"/>
      <c r="X50" s="43">
        <v>0.16</v>
      </c>
      <c r="Y50" s="43">
        <v>0.15</v>
      </c>
      <c r="Z50" s="43">
        <v>0.16</v>
      </c>
      <c r="AA50" s="43">
        <v>0.14000000000000001</v>
      </c>
      <c r="AB50" s="43">
        <v>0.12</v>
      </c>
      <c r="AC50" s="43">
        <v>0.15</v>
      </c>
      <c r="AD50" s="43"/>
      <c r="AE50" s="43">
        <v>0.16</v>
      </c>
      <c r="AF50" s="43">
        <v>0.14000000000000001</v>
      </c>
      <c r="AG50" s="43">
        <v>0.14000000000000001</v>
      </c>
      <c r="AH50" s="43">
        <v>0.15</v>
      </c>
      <c r="AI50" s="43">
        <v>0.14000000000000001</v>
      </c>
      <c r="AJ50" s="43">
        <v>0.14330000000000001</v>
      </c>
      <c r="AK50" s="43"/>
      <c r="AL50" s="43">
        <v>0.14000000000000001</v>
      </c>
      <c r="AM50" s="43">
        <v>0.13</v>
      </c>
      <c r="AN50" s="43">
        <v>0.14000000000000001</v>
      </c>
      <c r="AO50" s="43">
        <v>0.13</v>
      </c>
      <c r="AP50" s="43">
        <v>0.14000000000000001</v>
      </c>
      <c r="AQ50" s="43">
        <v>0.13669999999999999</v>
      </c>
      <c r="AR50" s="43"/>
      <c r="AS50" s="43">
        <v>0.1</v>
      </c>
      <c r="AT50" s="43">
        <v>0.09</v>
      </c>
      <c r="AU50" s="43">
        <v>0.1</v>
      </c>
      <c r="AV50" s="43">
        <v>0.08</v>
      </c>
      <c r="AW50" s="43">
        <v>0.09</v>
      </c>
      <c r="AX50" s="43">
        <v>9.3299999999999994E-2</v>
      </c>
    </row>
    <row r="51" spans="1:50">
      <c r="A51" s="43">
        <v>37378</v>
      </c>
      <c r="B51" s="43" t="s">
        <v>63</v>
      </c>
      <c r="C51" s="43">
        <v>0.01</v>
      </c>
      <c r="D51" s="43">
        <v>0.01</v>
      </c>
      <c r="E51" s="43">
        <v>0.01</v>
      </c>
      <c r="F51" s="43">
        <v>0.01</v>
      </c>
      <c r="G51" s="43">
        <v>0.01</v>
      </c>
      <c r="H51" s="43">
        <v>0.01</v>
      </c>
      <c r="I51" s="43"/>
      <c r="J51" s="43">
        <v>0.01</v>
      </c>
      <c r="K51" s="43">
        <v>0.01</v>
      </c>
      <c r="L51" s="43">
        <v>0.01</v>
      </c>
      <c r="M51" s="43">
        <v>0.01</v>
      </c>
      <c r="N51" s="43">
        <v>0</v>
      </c>
      <c r="O51" s="43">
        <v>0.01</v>
      </c>
      <c r="P51" s="43"/>
      <c r="Q51" s="43">
        <v>0.01</v>
      </c>
      <c r="R51" s="43">
        <v>0.01</v>
      </c>
      <c r="S51" s="43">
        <v>0.01</v>
      </c>
      <c r="T51" s="43">
        <v>0.01</v>
      </c>
      <c r="U51" s="43">
        <v>0.01</v>
      </c>
      <c r="V51" s="43">
        <v>0.01</v>
      </c>
      <c r="W51" s="43"/>
      <c r="X51" s="43">
        <v>0.02</v>
      </c>
      <c r="Y51" s="43">
        <v>0.03</v>
      </c>
      <c r="Z51" s="43">
        <v>0.01</v>
      </c>
      <c r="AA51" s="43">
        <v>0.02</v>
      </c>
      <c r="AB51" s="43">
        <v>0.02</v>
      </c>
      <c r="AC51" s="43">
        <v>0.02</v>
      </c>
      <c r="AD51" s="43"/>
      <c r="AE51" s="43">
        <v>0.01</v>
      </c>
      <c r="AF51" s="43">
        <v>0.01</v>
      </c>
      <c r="AG51" s="43">
        <v>0.01</v>
      </c>
      <c r="AH51" s="43">
        <v>0.01</v>
      </c>
      <c r="AI51" s="43">
        <v>0.01</v>
      </c>
      <c r="AJ51" s="43">
        <v>0.01</v>
      </c>
      <c r="AK51" s="43"/>
      <c r="AL51" s="43">
        <v>0.01</v>
      </c>
      <c r="AM51" s="43">
        <v>0.01</v>
      </c>
      <c r="AN51" s="43">
        <v>0.01</v>
      </c>
      <c r="AO51" s="43">
        <v>0.02</v>
      </c>
      <c r="AP51" s="43">
        <v>0.01</v>
      </c>
      <c r="AQ51" s="43">
        <v>0.01</v>
      </c>
      <c r="AR51" s="43"/>
      <c r="AS51" s="43">
        <v>0.01</v>
      </c>
      <c r="AT51" s="43">
        <v>0.02</v>
      </c>
      <c r="AU51" s="43">
        <v>0.01</v>
      </c>
      <c r="AV51" s="43">
        <v>0</v>
      </c>
      <c r="AW51" s="43">
        <v>0</v>
      </c>
      <c r="AX51" s="43">
        <v>6.7000000000000002E-3</v>
      </c>
    </row>
    <row r="52" spans="1:50">
      <c r="A52" s="43">
        <v>37380</v>
      </c>
      <c r="B52" s="43" t="s">
        <v>121</v>
      </c>
      <c r="C52" s="43">
        <v>0.01</v>
      </c>
      <c r="D52" s="43">
        <v>0.01</v>
      </c>
      <c r="E52" s="43">
        <v>0.01</v>
      </c>
      <c r="F52" s="43">
        <v>0.01</v>
      </c>
      <c r="G52" s="43">
        <v>0.01</v>
      </c>
      <c r="H52" s="43">
        <v>0.01</v>
      </c>
      <c r="I52" s="43"/>
      <c r="J52" s="43">
        <v>0.01</v>
      </c>
      <c r="K52" s="43">
        <v>0.01</v>
      </c>
      <c r="L52" s="43">
        <v>0.01</v>
      </c>
      <c r="M52" s="43">
        <v>0.01</v>
      </c>
      <c r="N52" s="43">
        <v>0</v>
      </c>
      <c r="O52" s="43">
        <v>0.01</v>
      </c>
      <c r="P52" s="43"/>
      <c r="Q52" s="43">
        <v>0.01</v>
      </c>
      <c r="R52" s="43">
        <v>0.01</v>
      </c>
      <c r="S52" s="43">
        <v>0.01</v>
      </c>
      <c r="T52" s="43">
        <v>0.01</v>
      </c>
      <c r="U52" s="43">
        <v>0.01</v>
      </c>
      <c r="V52" s="43">
        <v>0.01</v>
      </c>
      <c r="W52" s="43"/>
      <c r="X52" s="43">
        <v>0.02</v>
      </c>
      <c r="Y52" s="43">
        <v>0.03</v>
      </c>
      <c r="Z52" s="43">
        <v>0.01</v>
      </c>
      <c r="AA52" s="43">
        <v>0.02</v>
      </c>
      <c r="AB52" s="43">
        <v>0.02</v>
      </c>
      <c r="AC52" s="43">
        <v>0.02</v>
      </c>
      <c r="AD52" s="43"/>
      <c r="AE52" s="43">
        <v>0.01</v>
      </c>
      <c r="AF52" s="43">
        <v>0.01</v>
      </c>
      <c r="AG52" s="43">
        <v>0.01</v>
      </c>
      <c r="AH52" s="43">
        <v>0.01</v>
      </c>
      <c r="AI52" s="43">
        <v>0.01</v>
      </c>
      <c r="AJ52" s="43">
        <v>0.01</v>
      </c>
      <c r="AK52" s="43"/>
      <c r="AL52" s="43">
        <v>0.01</v>
      </c>
      <c r="AM52" s="43">
        <v>0.01</v>
      </c>
      <c r="AN52" s="43">
        <v>0.01</v>
      </c>
      <c r="AO52" s="43">
        <v>0.02</v>
      </c>
      <c r="AP52" s="43">
        <v>0.01</v>
      </c>
      <c r="AQ52" s="43">
        <v>0.01</v>
      </c>
      <c r="AR52" s="43"/>
      <c r="AS52" s="43">
        <v>0.01</v>
      </c>
      <c r="AT52" s="43">
        <v>0.02</v>
      </c>
      <c r="AU52" s="43">
        <v>0.01</v>
      </c>
      <c r="AV52" s="43">
        <v>0</v>
      </c>
      <c r="AW52" s="43">
        <v>0</v>
      </c>
      <c r="AX52" s="43">
        <v>6.7000000000000002E-3</v>
      </c>
    </row>
    <row r="53" spans="1:50">
      <c r="A53" s="43">
        <v>37854</v>
      </c>
      <c r="B53" s="43" t="s">
        <v>65</v>
      </c>
      <c r="C53" s="43">
        <v>0.08</v>
      </c>
      <c r="D53" s="43">
        <v>0.13</v>
      </c>
      <c r="E53" s="43">
        <v>0.09</v>
      </c>
      <c r="F53" s="43">
        <v>0.08</v>
      </c>
      <c r="G53" s="43">
        <v>0.08</v>
      </c>
      <c r="H53" s="43">
        <v>8.3299999999999999E-2</v>
      </c>
      <c r="I53" s="43"/>
      <c r="J53" s="43">
        <v>0.1</v>
      </c>
      <c r="K53" s="43">
        <v>0.12</v>
      </c>
      <c r="L53" s="43">
        <v>0.14000000000000001</v>
      </c>
      <c r="M53" s="43">
        <v>0.09</v>
      </c>
      <c r="N53" s="43">
        <v>0.08</v>
      </c>
      <c r="O53" s="43">
        <v>0.1033</v>
      </c>
      <c r="P53" s="43"/>
      <c r="Q53" s="43">
        <v>0.09</v>
      </c>
      <c r="R53" s="43">
        <v>0.12</v>
      </c>
      <c r="S53" s="43">
        <v>0.09</v>
      </c>
      <c r="T53" s="43">
        <v>0.12</v>
      </c>
      <c r="U53" s="43">
        <v>0.11</v>
      </c>
      <c r="V53" s="43">
        <v>0.1067</v>
      </c>
      <c r="W53" s="43"/>
      <c r="X53" s="43">
        <v>0.18</v>
      </c>
      <c r="Y53" s="43">
        <v>0.19</v>
      </c>
      <c r="Z53" s="43">
        <v>0.14000000000000001</v>
      </c>
      <c r="AA53" s="43">
        <v>0.12</v>
      </c>
      <c r="AB53" s="43">
        <v>0.1</v>
      </c>
      <c r="AC53" s="43">
        <v>0.1467</v>
      </c>
      <c r="AD53" s="43"/>
      <c r="AE53" s="43">
        <v>0.17</v>
      </c>
      <c r="AF53" s="43">
        <v>0.11</v>
      </c>
      <c r="AG53" s="43">
        <v>0.13</v>
      </c>
      <c r="AH53" s="43">
        <v>0.11</v>
      </c>
      <c r="AI53" s="43">
        <v>0.11</v>
      </c>
      <c r="AJ53" s="43">
        <v>0.1167</v>
      </c>
      <c r="AK53" s="43"/>
      <c r="AL53" s="43">
        <v>0.12</v>
      </c>
      <c r="AM53" s="43">
        <v>0.1</v>
      </c>
      <c r="AN53" s="43">
        <v>0.14000000000000001</v>
      </c>
      <c r="AO53" s="43">
        <v>0.13</v>
      </c>
      <c r="AP53" s="43">
        <v>0.15</v>
      </c>
      <c r="AQ53" s="43">
        <v>0.13</v>
      </c>
      <c r="AR53" s="43"/>
      <c r="AS53" s="43">
        <v>0.08</v>
      </c>
      <c r="AT53" s="43">
        <v>0.1</v>
      </c>
      <c r="AU53" s="43">
        <v>0.11</v>
      </c>
      <c r="AV53" s="43">
        <v>0.09</v>
      </c>
      <c r="AW53" s="43">
        <v>7.0000000000000007E-2</v>
      </c>
      <c r="AX53" s="43">
        <v>0.09</v>
      </c>
    </row>
    <row r="54" spans="1:50">
      <c r="A54" s="43">
        <v>37856</v>
      </c>
      <c r="B54" s="43" t="s">
        <v>64</v>
      </c>
      <c r="C54" s="43">
        <v>0.05</v>
      </c>
      <c r="D54" s="43">
        <v>0.05</v>
      </c>
      <c r="E54" s="43">
        <v>0.05</v>
      </c>
      <c r="F54" s="43">
        <v>0.06</v>
      </c>
      <c r="G54" s="43">
        <v>0.06</v>
      </c>
      <c r="H54" s="43">
        <v>5.33E-2</v>
      </c>
      <c r="I54" s="43"/>
      <c r="J54" s="43">
        <v>0.05</v>
      </c>
      <c r="K54" s="43">
        <v>7.0000000000000007E-2</v>
      </c>
      <c r="L54" s="43">
        <v>0.06</v>
      </c>
      <c r="M54" s="43">
        <v>7.0000000000000007E-2</v>
      </c>
      <c r="N54" s="43">
        <v>7.0000000000000007E-2</v>
      </c>
      <c r="O54" s="43">
        <v>6.6699999999999995E-2</v>
      </c>
      <c r="P54" s="43"/>
      <c r="Q54" s="43">
        <v>0.06</v>
      </c>
      <c r="R54" s="43">
        <v>0.06</v>
      </c>
      <c r="S54" s="43">
        <v>0.05</v>
      </c>
      <c r="T54" s="43">
        <v>7.0000000000000007E-2</v>
      </c>
      <c r="U54" s="43">
        <v>0.04</v>
      </c>
      <c r="V54" s="43">
        <v>5.67E-2</v>
      </c>
      <c r="W54" s="43"/>
      <c r="X54" s="43">
        <v>0.09</v>
      </c>
      <c r="Y54" s="43">
        <v>7.0000000000000007E-2</v>
      </c>
      <c r="Z54" s="43">
        <v>0.09</v>
      </c>
      <c r="AA54" s="43">
        <v>7.0000000000000007E-2</v>
      </c>
      <c r="AB54" s="43">
        <v>0.09</v>
      </c>
      <c r="AC54" s="43">
        <v>8.3299999999999999E-2</v>
      </c>
      <c r="AD54" s="43"/>
      <c r="AE54" s="43">
        <v>0.08</v>
      </c>
      <c r="AF54" s="43">
        <v>0.1</v>
      </c>
      <c r="AG54" s="43">
        <v>0.08</v>
      </c>
      <c r="AH54" s="43">
        <v>7.0000000000000007E-2</v>
      </c>
      <c r="AI54" s="43">
        <v>0.1</v>
      </c>
      <c r="AJ54" s="43">
        <v>8.6699999999999999E-2</v>
      </c>
      <c r="AK54" s="43"/>
      <c r="AL54" s="43">
        <v>0.08</v>
      </c>
      <c r="AM54" s="43">
        <v>7.0000000000000007E-2</v>
      </c>
      <c r="AN54" s="43">
        <v>7.0000000000000007E-2</v>
      </c>
      <c r="AO54" s="43">
        <v>0.06</v>
      </c>
      <c r="AP54" s="43">
        <v>7.0000000000000007E-2</v>
      </c>
      <c r="AQ54" s="43">
        <v>7.0000000000000007E-2</v>
      </c>
      <c r="AR54" s="43"/>
      <c r="AS54" s="43">
        <v>0.06</v>
      </c>
      <c r="AT54" s="43">
        <v>0.06</v>
      </c>
      <c r="AU54" s="43">
        <v>0.06</v>
      </c>
      <c r="AV54" s="43">
        <v>0.04</v>
      </c>
      <c r="AW54" s="43">
        <v>0.05</v>
      </c>
      <c r="AX54" s="43">
        <v>5.67E-2</v>
      </c>
    </row>
    <row r="55" spans="1:50">
      <c r="A55" s="43">
        <v>37862</v>
      </c>
      <c r="B55" s="43" t="s">
        <v>45</v>
      </c>
      <c r="C55" s="43">
        <v>0.43</v>
      </c>
      <c r="D55" s="43">
        <v>0.55000000000000004</v>
      </c>
      <c r="E55" s="43">
        <v>0.5</v>
      </c>
      <c r="F55" s="43">
        <v>0.49</v>
      </c>
      <c r="G55" s="43">
        <v>0.52</v>
      </c>
      <c r="H55" s="43">
        <v>0.50329999999999997</v>
      </c>
      <c r="I55" s="43"/>
      <c r="J55" s="43">
        <v>0.56999999999999995</v>
      </c>
      <c r="K55" s="43">
        <v>0.68</v>
      </c>
      <c r="L55" s="43">
        <v>0.62</v>
      </c>
      <c r="M55" s="43">
        <v>0.62</v>
      </c>
      <c r="N55" s="43">
        <v>0.39</v>
      </c>
      <c r="O55" s="43">
        <v>0.60329999999999995</v>
      </c>
      <c r="P55" s="43"/>
      <c r="Q55" s="43">
        <v>0.55000000000000004</v>
      </c>
      <c r="R55" s="43">
        <v>0.48</v>
      </c>
      <c r="S55" s="43">
        <v>0.59</v>
      </c>
      <c r="T55" s="43">
        <v>0.52</v>
      </c>
      <c r="U55" s="43">
        <v>0.52</v>
      </c>
      <c r="V55" s="43">
        <v>0.53</v>
      </c>
      <c r="W55" s="43"/>
      <c r="X55" s="43">
        <v>1.02</v>
      </c>
      <c r="Y55" s="43">
        <v>0.7</v>
      </c>
      <c r="Z55" s="43">
        <v>0.71</v>
      </c>
      <c r="AA55" s="43">
        <v>0.71</v>
      </c>
      <c r="AB55" s="43">
        <v>0.88</v>
      </c>
      <c r="AC55" s="43">
        <v>0.76670000000000005</v>
      </c>
      <c r="AD55" s="43"/>
      <c r="AE55" s="43">
        <v>0.74</v>
      </c>
      <c r="AF55" s="43">
        <v>0.64</v>
      </c>
      <c r="AG55" s="43">
        <v>0.82</v>
      </c>
      <c r="AH55" s="43">
        <v>0.79</v>
      </c>
      <c r="AI55" s="43">
        <v>0.77</v>
      </c>
      <c r="AJ55" s="43">
        <v>0.76670000000000005</v>
      </c>
      <c r="AK55" s="43"/>
      <c r="AL55" s="43">
        <v>0.81</v>
      </c>
      <c r="AM55" s="43">
        <v>0.6</v>
      </c>
      <c r="AN55" s="43">
        <v>0.65</v>
      </c>
      <c r="AO55" s="43">
        <v>0.56999999999999995</v>
      </c>
      <c r="AP55" s="43">
        <v>0.49</v>
      </c>
      <c r="AQ55" s="43">
        <v>0.60670000000000002</v>
      </c>
      <c r="AR55" s="43"/>
      <c r="AS55" s="43">
        <v>0.5</v>
      </c>
      <c r="AT55" s="43">
        <v>0.64</v>
      </c>
      <c r="AU55" s="43">
        <v>0.56999999999999995</v>
      </c>
      <c r="AV55" s="43">
        <v>0.44</v>
      </c>
      <c r="AW55" s="43">
        <v>0.54</v>
      </c>
      <c r="AX55" s="43">
        <v>0.53669999999999995</v>
      </c>
    </row>
    <row r="56" spans="1:50">
      <c r="A56" s="43">
        <v>37870</v>
      </c>
      <c r="B56" s="43" t="s">
        <v>139</v>
      </c>
      <c r="C56" s="43">
        <v>0.16</v>
      </c>
      <c r="D56" s="43">
        <v>0.2</v>
      </c>
      <c r="E56" s="43">
        <v>0.19</v>
      </c>
      <c r="F56" s="43">
        <v>0.15</v>
      </c>
      <c r="G56" s="43">
        <v>0.15</v>
      </c>
      <c r="H56" s="43">
        <v>0.16669999999999999</v>
      </c>
      <c r="I56" s="43"/>
      <c r="J56" s="43">
        <v>0.26</v>
      </c>
      <c r="K56" s="43">
        <v>0.16</v>
      </c>
      <c r="L56" s="43">
        <v>0.21</v>
      </c>
      <c r="M56" s="43">
        <v>0.21</v>
      </c>
      <c r="N56" s="43">
        <v>0.18</v>
      </c>
      <c r="O56" s="43">
        <v>0.2</v>
      </c>
      <c r="P56" s="43"/>
      <c r="Q56" s="43">
        <v>0.22</v>
      </c>
      <c r="R56" s="43">
        <v>0.19</v>
      </c>
      <c r="S56" s="43">
        <v>0.25</v>
      </c>
      <c r="T56" s="43">
        <v>0.13</v>
      </c>
      <c r="U56" s="43">
        <v>0.17</v>
      </c>
      <c r="V56" s="43">
        <v>0.1933</v>
      </c>
      <c r="W56" s="43"/>
      <c r="X56" s="43">
        <v>0.28000000000000003</v>
      </c>
      <c r="Y56" s="43">
        <v>0.22</v>
      </c>
      <c r="Z56" s="43">
        <v>0.31</v>
      </c>
      <c r="AA56" s="43">
        <v>0.28000000000000003</v>
      </c>
      <c r="AB56" s="43">
        <v>0.2</v>
      </c>
      <c r="AC56" s="43">
        <v>0.26</v>
      </c>
      <c r="AD56" s="43"/>
      <c r="AE56" s="43">
        <v>0.28000000000000003</v>
      </c>
      <c r="AF56" s="43">
        <v>0.22</v>
      </c>
      <c r="AG56" s="43">
        <v>0.25</v>
      </c>
      <c r="AH56" s="43">
        <v>0.2</v>
      </c>
      <c r="AI56" s="43">
        <v>0.24</v>
      </c>
      <c r="AJ56" s="43">
        <v>0.23669999999999999</v>
      </c>
      <c r="AK56" s="43"/>
      <c r="AL56" s="43">
        <v>0.22</v>
      </c>
      <c r="AM56" s="43">
        <v>0.23</v>
      </c>
      <c r="AN56" s="43">
        <v>0.23</v>
      </c>
      <c r="AO56" s="43">
        <v>0.27</v>
      </c>
      <c r="AP56" s="43">
        <v>0.22</v>
      </c>
      <c r="AQ56" s="43">
        <v>0.22670000000000001</v>
      </c>
      <c r="AR56" s="43"/>
      <c r="AS56" s="43">
        <v>0.18</v>
      </c>
      <c r="AT56" s="43">
        <v>0.11</v>
      </c>
      <c r="AU56" s="43">
        <v>0.19</v>
      </c>
      <c r="AV56" s="43">
        <v>0.15</v>
      </c>
      <c r="AW56" s="43">
        <v>0.15</v>
      </c>
      <c r="AX56" s="43">
        <v>0.16</v>
      </c>
    </row>
    <row r="57" spans="1:50">
      <c r="A57" s="43">
        <v>37872</v>
      </c>
      <c r="B57" s="43" t="s">
        <v>48</v>
      </c>
      <c r="C57" s="43">
        <v>0.22</v>
      </c>
      <c r="D57" s="43">
        <v>0.17</v>
      </c>
      <c r="E57" s="43">
        <v>0.18</v>
      </c>
      <c r="F57" s="43">
        <v>0.1</v>
      </c>
      <c r="G57" s="43">
        <v>0.13</v>
      </c>
      <c r="H57" s="43">
        <v>0.16</v>
      </c>
      <c r="I57" s="43"/>
      <c r="J57" s="43">
        <v>0.16</v>
      </c>
      <c r="K57" s="43">
        <v>0.22</v>
      </c>
      <c r="L57" s="43">
        <v>0.25</v>
      </c>
      <c r="M57" s="43">
        <v>0.17</v>
      </c>
      <c r="N57" s="43">
        <v>0.14000000000000001</v>
      </c>
      <c r="O57" s="43">
        <v>0.18329999999999999</v>
      </c>
      <c r="P57" s="43"/>
      <c r="Q57" s="43">
        <v>0.16</v>
      </c>
      <c r="R57" s="43">
        <v>0.28000000000000003</v>
      </c>
      <c r="S57" s="43">
        <v>0.3</v>
      </c>
      <c r="T57" s="43">
        <v>0.17</v>
      </c>
      <c r="U57" s="43">
        <v>0.14000000000000001</v>
      </c>
      <c r="V57" s="43">
        <v>0.20330000000000001</v>
      </c>
      <c r="W57" s="43"/>
      <c r="X57" s="43">
        <v>0.25</v>
      </c>
      <c r="Y57" s="43">
        <v>0.27</v>
      </c>
      <c r="Z57" s="43">
        <v>0.32</v>
      </c>
      <c r="AA57" s="43">
        <v>0.24</v>
      </c>
      <c r="AB57" s="43">
        <v>0.21</v>
      </c>
      <c r="AC57" s="43">
        <v>0.25330000000000003</v>
      </c>
      <c r="AD57" s="43"/>
      <c r="AE57" s="43">
        <v>0.24</v>
      </c>
      <c r="AF57" s="43">
        <v>0.22</v>
      </c>
      <c r="AG57" s="43">
        <v>0.28999999999999998</v>
      </c>
      <c r="AH57" s="43">
        <v>0.28999999999999998</v>
      </c>
      <c r="AI57" s="43">
        <v>0.2</v>
      </c>
      <c r="AJ57" s="43">
        <v>0.25</v>
      </c>
      <c r="AK57" s="43"/>
      <c r="AL57" s="43">
        <v>0.16</v>
      </c>
      <c r="AM57" s="43">
        <v>0.2</v>
      </c>
      <c r="AN57" s="43">
        <v>0.21</v>
      </c>
      <c r="AO57" s="43">
        <v>0.18</v>
      </c>
      <c r="AP57" s="43">
        <v>0.15</v>
      </c>
      <c r="AQ57" s="43">
        <v>0.18</v>
      </c>
      <c r="AR57" s="43"/>
      <c r="AS57" s="43">
        <v>0.12</v>
      </c>
      <c r="AT57" s="43">
        <v>0.17</v>
      </c>
      <c r="AU57" s="43">
        <v>0.13</v>
      </c>
      <c r="AV57" s="43">
        <v>0.13</v>
      </c>
      <c r="AW57" s="43">
        <v>0.08</v>
      </c>
      <c r="AX57" s="43">
        <v>0.12670000000000001</v>
      </c>
    </row>
    <row r="58" spans="1:50">
      <c r="A58" s="43">
        <v>37876</v>
      </c>
      <c r="B58" s="43" t="s">
        <v>50</v>
      </c>
      <c r="C58" s="43">
        <v>0.27</v>
      </c>
      <c r="D58" s="43">
        <v>0.38</v>
      </c>
      <c r="E58" s="43">
        <v>0.37</v>
      </c>
      <c r="F58" s="43">
        <v>0.32</v>
      </c>
      <c r="G58" s="43">
        <v>0.28000000000000003</v>
      </c>
      <c r="H58" s="43">
        <v>0.32329999999999998</v>
      </c>
      <c r="I58" s="43"/>
      <c r="J58" s="43">
        <v>0.37</v>
      </c>
      <c r="K58" s="43">
        <v>0.41</v>
      </c>
      <c r="L58" s="43">
        <v>0.43</v>
      </c>
      <c r="M58" s="43">
        <v>0.33</v>
      </c>
      <c r="N58" s="43">
        <v>0.27</v>
      </c>
      <c r="O58" s="43">
        <v>0.37</v>
      </c>
      <c r="P58" s="43"/>
      <c r="Q58" s="43">
        <v>0.35</v>
      </c>
      <c r="R58" s="43">
        <v>0.4</v>
      </c>
      <c r="S58" s="43">
        <v>0.39</v>
      </c>
      <c r="T58" s="43">
        <v>0.4</v>
      </c>
      <c r="U58" s="43">
        <v>0.31</v>
      </c>
      <c r="V58" s="43">
        <v>0.38</v>
      </c>
      <c r="W58" s="43"/>
      <c r="X58" s="43">
        <v>0.56999999999999995</v>
      </c>
      <c r="Y58" s="43">
        <v>0.52</v>
      </c>
      <c r="Z58" s="43">
        <v>0.54</v>
      </c>
      <c r="AA58" s="43">
        <v>0.51</v>
      </c>
      <c r="AB58" s="43">
        <v>0.46</v>
      </c>
      <c r="AC58" s="43">
        <v>0.52329999999999999</v>
      </c>
      <c r="AD58" s="43"/>
      <c r="AE58" s="43">
        <v>0.53</v>
      </c>
      <c r="AF58" s="43">
        <v>0.43</v>
      </c>
      <c r="AG58" s="43">
        <v>0.52</v>
      </c>
      <c r="AH58" s="43">
        <v>0.57999999999999996</v>
      </c>
      <c r="AI58" s="43">
        <v>0.55000000000000004</v>
      </c>
      <c r="AJ58" s="43">
        <v>0.5333</v>
      </c>
      <c r="AK58" s="43"/>
      <c r="AL58" s="43">
        <v>0.5</v>
      </c>
      <c r="AM58" s="43">
        <v>0.44</v>
      </c>
      <c r="AN58" s="43">
        <v>0.42</v>
      </c>
      <c r="AO58" s="43">
        <v>0.45</v>
      </c>
      <c r="AP58" s="43">
        <v>0.45</v>
      </c>
      <c r="AQ58" s="43">
        <v>0.44669999999999999</v>
      </c>
      <c r="AR58" s="43"/>
      <c r="AS58" s="43">
        <v>0.33</v>
      </c>
      <c r="AT58" s="43">
        <v>0.34</v>
      </c>
      <c r="AU58" s="43">
        <v>0.36</v>
      </c>
      <c r="AV58" s="43">
        <v>0.3</v>
      </c>
      <c r="AW58" s="43">
        <v>0.33</v>
      </c>
      <c r="AX58" s="43">
        <v>0.33329999999999999</v>
      </c>
    </row>
    <row r="59" spans="1:50">
      <c r="A59" s="43">
        <v>37883</v>
      </c>
      <c r="B59" s="43" t="s">
        <v>142</v>
      </c>
      <c r="C59" s="43">
        <v>0.09</v>
      </c>
      <c r="D59" s="43">
        <v>0.09</v>
      </c>
      <c r="E59" s="43">
        <v>7.0000000000000007E-2</v>
      </c>
      <c r="F59" s="43">
        <v>0.02</v>
      </c>
      <c r="G59" s="43">
        <v>0.04</v>
      </c>
      <c r="H59" s="43">
        <v>6.6699999999999995E-2</v>
      </c>
      <c r="I59" s="43"/>
      <c r="J59" s="43">
        <v>0.04</v>
      </c>
      <c r="K59" s="43">
        <v>0.06</v>
      </c>
      <c r="L59" s="43">
        <v>0.13</v>
      </c>
      <c r="M59" s="43">
        <v>7.0000000000000007E-2</v>
      </c>
      <c r="N59" s="43">
        <v>0.05</v>
      </c>
      <c r="O59" s="43">
        <v>0.06</v>
      </c>
      <c r="P59" s="43"/>
      <c r="Q59" s="43">
        <v>0.04</v>
      </c>
      <c r="R59" s="43">
        <v>0.03</v>
      </c>
      <c r="S59" s="43">
        <v>0.04</v>
      </c>
      <c r="T59" s="43">
        <v>0.06</v>
      </c>
      <c r="U59" s="43">
        <v>0</v>
      </c>
      <c r="V59" s="43">
        <v>3.6700000000000003E-2</v>
      </c>
      <c r="W59" s="43"/>
      <c r="X59" s="43">
        <v>0.06</v>
      </c>
      <c r="Y59" s="43">
        <v>0.09</v>
      </c>
      <c r="Z59" s="43">
        <v>0.05</v>
      </c>
      <c r="AA59" s="43">
        <v>0.06</v>
      </c>
      <c r="AB59" s="43">
        <v>0.09</v>
      </c>
      <c r="AC59" s="43">
        <v>7.0000000000000007E-2</v>
      </c>
      <c r="AD59" s="43"/>
      <c r="AE59" s="43">
        <v>0.1</v>
      </c>
      <c r="AF59" s="43">
        <v>0.05</v>
      </c>
      <c r="AG59" s="43">
        <v>0.05</v>
      </c>
      <c r="AH59" s="43">
        <v>0.05</v>
      </c>
      <c r="AI59" s="43">
        <v>7.0000000000000007E-2</v>
      </c>
      <c r="AJ59" s="43">
        <v>5.67E-2</v>
      </c>
      <c r="AK59" s="43"/>
      <c r="AL59" s="43">
        <v>0.08</v>
      </c>
      <c r="AM59" s="43">
        <v>0.08</v>
      </c>
      <c r="AN59" s="43">
        <v>0.11</v>
      </c>
      <c r="AO59" s="43">
        <v>0</v>
      </c>
      <c r="AP59" s="43">
        <v>0.05</v>
      </c>
      <c r="AQ59" s="43">
        <v>7.0000000000000007E-2</v>
      </c>
      <c r="AR59" s="43"/>
      <c r="AS59" s="43">
        <v>0.1</v>
      </c>
      <c r="AT59" s="43">
        <v>0.02</v>
      </c>
      <c r="AU59" s="43">
        <v>0</v>
      </c>
      <c r="AV59" s="43">
        <v>0.04</v>
      </c>
      <c r="AW59" s="43">
        <v>0.04</v>
      </c>
      <c r="AX59" s="43">
        <v>3.3300000000000003E-2</v>
      </c>
    </row>
    <row r="60" spans="1:50">
      <c r="A60" s="43">
        <v>37887</v>
      </c>
      <c r="B60" s="43" t="s">
        <v>55</v>
      </c>
      <c r="C60" s="43">
        <v>0.72</v>
      </c>
      <c r="D60" s="43">
        <v>0.73</v>
      </c>
      <c r="E60" s="43">
        <v>0.7</v>
      </c>
      <c r="F60" s="43">
        <v>0.51</v>
      </c>
      <c r="G60" s="43">
        <v>0.53</v>
      </c>
      <c r="H60" s="43">
        <v>0.65</v>
      </c>
      <c r="I60" s="43"/>
      <c r="J60" s="43">
        <v>0.8</v>
      </c>
      <c r="K60" s="43">
        <v>1.05</v>
      </c>
      <c r="L60" s="43">
        <v>1.05</v>
      </c>
      <c r="M60" s="43">
        <v>0.56000000000000005</v>
      </c>
      <c r="N60" s="43">
        <v>0.56000000000000005</v>
      </c>
      <c r="O60" s="43">
        <v>0.80330000000000001</v>
      </c>
      <c r="P60" s="43"/>
      <c r="Q60" s="43">
        <v>0.76</v>
      </c>
      <c r="R60" s="43">
        <v>1.19</v>
      </c>
      <c r="S60" s="43">
        <v>1.1000000000000001</v>
      </c>
      <c r="T60" s="43">
        <v>0.68</v>
      </c>
      <c r="U60" s="43">
        <v>0.65</v>
      </c>
      <c r="V60" s="43">
        <v>0.84670000000000001</v>
      </c>
      <c r="W60" s="43"/>
      <c r="X60" s="43">
        <v>0.98</v>
      </c>
      <c r="Y60" s="43">
        <v>1.17</v>
      </c>
      <c r="Z60" s="43">
        <v>1.1299999999999999</v>
      </c>
      <c r="AA60" s="43">
        <v>0.94</v>
      </c>
      <c r="AB60" s="43">
        <v>0.79</v>
      </c>
      <c r="AC60" s="43">
        <v>1.0166999999999999</v>
      </c>
      <c r="AD60" s="43"/>
      <c r="AE60" s="43">
        <v>1.06</v>
      </c>
      <c r="AF60" s="43">
        <v>0.98</v>
      </c>
      <c r="AG60" s="43">
        <v>1.1599999999999999</v>
      </c>
      <c r="AH60" s="43">
        <v>1.22</v>
      </c>
      <c r="AI60" s="43">
        <v>0.71</v>
      </c>
      <c r="AJ60" s="43">
        <v>1.0667</v>
      </c>
      <c r="AK60" s="43"/>
      <c r="AL60" s="43">
        <v>0.77</v>
      </c>
      <c r="AM60" s="43">
        <v>0.94</v>
      </c>
      <c r="AN60" s="43">
        <v>0.95</v>
      </c>
      <c r="AO60" s="43">
        <v>0.78</v>
      </c>
      <c r="AP60" s="43">
        <v>0.87</v>
      </c>
      <c r="AQ60" s="43">
        <v>0.86329999999999996</v>
      </c>
      <c r="AR60" s="43"/>
      <c r="AS60" s="43">
        <v>0.52</v>
      </c>
      <c r="AT60" s="43">
        <v>0.66</v>
      </c>
      <c r="AU60" s="43">
        <v>0.72</v>
      </c>
      <c r="AV60" s="43">
        <v>0.53</v>
      </c>
      <c r="AW60" s="43">
        <v>0.53</v>
      </c>
      <c r="AX60" s="43">
        <v>0.57330000000000003</v>
      </c>
    </row>
    <row r="61" spans="1:50">
      <c r="A61" s="43">
        <v>37891</v>
      </c>
      <c r="B61" s="43" t="s">
        <v>165</v>
      </c>
      <c r="C61" s="43">
        <v>0.45</v>
      </c>
      <c r="D61" s="43">
        <v>0.66</v>
      </c>
      <c r="E61" s="43">
        <v>0.64</v>
      </c>
      <c r="F61" s="43">
        <v>0.48</v>
      </c>
      <c r="G61" s="43">
        <v>0.5</v>
      </c>
      <c r="H61" s="43">
        <v>0.54</v>
      </c>
      <c r="I61" s="43"/>
      <c r="J61" s="43">
        <v>0.63</v>
      </c>
      <c r="K61" s="43">
        <v>0.67</v>
      </c>
      <c r="L61" s="43">
        <v>0.74</v>
      </c>
      <c r="M61" s="43">
        <v>0.52</v>
      </c>
      <c r="N61" s="43">
        <v>0.53</v>
      </c>
      <c r="O61" s="43">
        <v>0.61</v>
      </c>
      <c r="P61" s="43"/>
      <c r="Q61" s="43">
        <v>0.61</v>
      </c>
      <c r="R61" s="43">
        <v>0.64</v>
      </c>
      <c r="S61" s="43">
        <v>0.68</v>
      </c>
      <c r="T61" s="43">
        <v>0.6</v>
      </c>
      <c r="U61" s="43">
        <v>0.53</v>
      </c>
      <c r="V61" s="43">
        <v>0.61670000000000003</v>
      </c>
      <c r="W61" s="43"/>
      <c r="X61" s="43">
        <v>0.95</v>
      </c>
      <c r="Y61" s="43">
        <v>0.87</v>
      </c>
      <c r="Z61" s="43">
        <v>0.93</v>
      </c>
      <c r="AA61" s="43">
        <v>0.81</v>
      </c>
      <c r="AB61" s="43">
        <v>0.69</v>
      </c>
      <c r="AC61" s="43">
        <v>0.87</v>
      </c>
      <c r="AD61" s="43"/>
      <c r="AE61" s="43">
        <v>0.88</v>
      </c>
      <c r="AF61" s="43">
        <v>0.78</v>
      </c>
      <c r="AG61" s="43">
        <v>0.79</v>
      </c>
      <c r="AH61" s="43">
        <v>0.84</v>
      </c>
      <c r="AI61" s="43">
        <v>0.82</v>
      </c>
      <c r="AJ61" s="43">
        <v>0.81669999999999998</v>
      </c>
      <c r="AK61" s="43"/>
      <c r="AL61" s="43">
        <v>0.79</v>
      </c>
      <c r="AM61" s="43">
        <v>0.76</v>
      </c>
      <c r="AN61" s="43">
        <v>0.73</v>
      </c>
      <c r="AO61" s="43">
        <v>0.78</v>
      </c>
      <c r="AP61" s="43">
        <v>0.78</v>
      </c>
      <c r="AQ61" s="43">
        <v>0.77329999999999999</v>
      </c>
      <c r="AR61" s="43"/>
      <c r="AS61" s="43">
        <v>0.53</v>
      </c>
      <c r="AT61" s="43">
        <v>0.53</v>
      </c>
      <c r="AU61" s="43">
        <v>0.62</v>
      </c>
      <c r="AV61" s="43">
        <v>0.47</v>
      </c>
      <c r="AW61" s="43">
        <v>0.5</v>
      </c>
      <c r="AX61" s="43">
        <v>0.52</v>
      </c>
    </row>
    <row r="62" spans="1:50">
      <c r="A62" s="43">
        <v>37893</v>
      </c>
      <c r="B62" s="43" t="s">
        <v>37</v>
      </c>
      <c r="C62" s="43">
        <v>0.03</v>
      </c>
      <c r="D62" s="43">
        <v>0.05</v>
      </c>
      <c r="E62" s="43">
        <v>0.04</v>
      </c>
      <c r="F62" s="43">
        <v>0.03</v>
      </c>
      <c r="G62" s="43">
        <v>0.03</v>
      </c>
      <c r="H62" s="43">
        <v>3.3300000000000003E-2</v>
      </c>
      <c r="I62" s="43"/>
      <c r="J62" s="43">
        <v>0.06</v>
      </c>
      <c r="K62" s="43">
        <v>0.05</v>
      </c>
      <c r="L62" s="43">
        <v>0.05</v>
      </c>
      <c r="M62" s="43">
        <v>0.04</v>
      </c>
      <c r="N62" s="43">
        <v>0.04</v>
      </c>
      <c r="O62" s="43">
        <v>4.6699999999999998E-2</v>
      </c>
      <c r="P62" s="43"/>
      <c r="Q62" s="43">
        <v>0.04</v>
      </c>
      <c r="R62" s="43">
        <v>0.06</v>
      </c>
      <c r="S62" s="43">
        <v>0.05</v>
      </c>
      <c r="T62" s="43">
        <v>0.05</v>
      </c>
      <c r="U62" s="43">
        <v>0.04</v>
      </c>
      <c r="V62" s="43">
        <v>4.6699999999999998E-2</v>
      </c>
      <c r="W62" s="43"/>
      <c r="X62" s="43">
        <v>7.0000000000000007E-2</v>
      </c>
      <c r="Y62" s="43">
        <v>0.08</v>
      </c>
      <c r="Z62" s="43">
        <v>7.0000000000000007E-2</v>
      </c>
      <c r="AA62" s="43">
        <v>0.06</v>
      </c>
      <c r="AB62" s="43">
        <v>0.06</v>
      </c>
      <c r="AC62" s="43">
        <v>6.6699999999999995E-2</v>
      </c>
      <c r="AD62" s="43"/>
      <c r="AE62" s="43">
        <v>7.0000000000000007E-2</v>
      </c>
      <c r="AF62" s="43">
        <v>0.06</v>
      </c>
      <c r="AG62" s="43">
        <v>7.0000000000000007E-2</v>
      </c>
      <c r="AH62" s="43">
        <v>7.0000000000000007E-2</v>
      </c>
      <c r="AI62" s="43">
        <v>0.06</v>
      </c>
      <c r="AJ62" s="43">
        <v>6.6699999999999995E-2</v>
      </c>
      <c r="AK62" s="43"/>
      <c r="AL62" s="43">
        <v>0.08</v>
      </c>
      <c r="AM62" s="43">
        <v>0.06</v>
      </c>
      <c r="AN62" s="43">
        <v>0.06</v>
      </c>
      <c r="AO62" s="43">
        <v>0.06</v>
      </c>
      <c r="AP62" s="43">
        <v>0.06</v>
      </c>
      <c r="AQ62" s="43">
        <v>0.06</v>
      </c>
      <c r="AR62" s="43"/>
      <c r="AS62" s="43">
        <v>0.04</v>
      </c>
      <c r="AT62" s="43">
        <v>0.05</v>
      </c>
      <c r="AU62" s="43">
        <v>0.05</v>
      </c>
      <c r="AV62" s="43">
        <v>0.04</v>
      </c>
      <c r="AW62" s="43">
        <v>0.04</v>
      </c>
      <c r="AX62" s="43">
        <v>4.3299999999999998E-2</v>
      </c>
    </row>
    <row r="63" spans="1:50">
      <c r="A63" s="43">
        <v>37895</v>
      </c>
      <c r="B63" s="43" t="s">
        <v>108</v>
      </c>
      <c r="C63" s="43">
        <v>0.4</v>
      </c>
      <c r="D63" s="43">
        <v>0.55000000000000004</v>
      </c>
      <c r="E63" s="43">
        <v>0.64</v>
      </c>
      <c r="F63" s="43">
        <v>0.49</v>
      </c>
      <c r="G63" s="43">
        <v>0.36</v>
      </c>
      <c r="H63" s="43">
        <v>0.48</v>
      </c>
      <c r="I63" s="43"/>
      <c r="J63" s="43">
        <v>0.48</v>
      </c>
      <c r="K63" s="43">
        <v>0.59</v>
      </c>
      <c r="L63" s="43">
        <v>0.67</v>
      </c>
      <c r="M63" s="43">
        <v>0.42</v>
      </c>
      <c r="N63" s="43">
        <v>0.38</v>
      </c>
      <c r="O63" s="43">
        <v>0.49669999999999997</v>
      </c>
      <c r="P63" s="43"/>
      <c r="Q63" s="43">
        <v>0.51</v>
      </c>
      <c r="R63" s="43">
        <v>0.54</v>
      </c>
      <c r="S63" s="43">
        <v>0.69</v>
      </c>
      <c r="T63" s="43">
        <v>0.56999999999999995</v>
      </c>
      <c r="U63" s="43">
        <v>0.47</v>
      </c>
      <c r="V63" s="43">
        <v>0.54</v>
      </c>
      <c r="W63" s="43"/>
      <c r="X63" s="43">
        <v>0.88</v>
      </c>
      <c r="Y63" s="43">
        <v>0.81</v>
      </c>
      <c r="Z63" s="43">
        <v>0.81</v>
      </c>
      <c r="AA63" s="43">
        <v>0.78</v>
      </c>
      <c r="AB63" s="43">
        <v>0.65</v>
      </c>
      <c r="AC63" s="43">
        <v>0.8</v>
      </c>
      <c r="AD63" s="43"/>
      <c r="AE63" s="43">
        <v>0.75</v>
      </c>
      <c r="AF63" s="43">
        <v>0.62</v>
      </c>
      <c r="AG63" s="43">
        <v>0.8</v>
      </c>
      <c r="AH63" s="43">
        <v>0.9</v>
      </c>
      <c r="AI63" s="43">
        <v>0.86</v>
      </c>
      <c r="AJ63" s="43">
        <v>0.80330000000000001</v>
      </c>
      <c r="AK63" s="43"/>
      <c r="AL63" s="43">
        <v>0.72</v>
      </c>
      <c r="AM63" s="43">
        <v>0.7</v>
      </c>
      <c r="AN63" s="43">
        <v>0.55000000000000004</v>
      </c>
      <c r="AO63" s="43">
        <v>0.68</v>
      </c>
      <c r="AP63" s="43">
        <v>0.68</v>
      </c>
      <c r="AQ63" s="43">
        <v>0.68669999999999998</v>
      </c>
      <c r="AR63" s="43"/>
      <c r="AS63" s="43">
        <v>0.47</v>
      </c>
      <c r="AT63" s="43">
        <v>0.51</v>
      </c>
      <c r="AU63" s="43">
        <v>0.52</v>
      </c>
      <c r="AV63" s="43">
        <v>0.47</v>
      </c>
      <c r="AW63" s="43">
        <v>0.47</v>
      </c>
      <c r="AX63" s="43">
        <v>0.48330000000000001</v>
      </c>
    </row>
    <row r="64" spans="1:50">
      <c r="A64" s="43">
        <v>37897</v>
      </c>
      <c r="B64" s="43" t="s">
        <v>57</v>
      </c>
      <c r="C64" s="43">
        <v>0.5</v>
      </c>
      <c r="D64" s="43">
        <v>0.55000000000000004</v>
      </c>
      <c r="E64" s="43">
        <v>0.5</v>
      </c>
      <c r="F64" s="43">
        <v>0.13</v>
      </c>
      <c r="G64" s="43">
        <v>0.35</v>
      </c>
      <c r="H64" s="43">
        <v>0.45</v>
      </c>
      <c r="I64" s="43"/>
      <c r="J64" s="43">
        <v>0.33</v>
      </c>
      <c r="K64" s="43">
        <v>0.48</v>
      </c>
      <c r="L64" s="43">
        <v>0.78</v>
      </c>
      <c r="M64" s="43">
        <v>0.43</v>
      </c>
      <c r="N64" s="43">
        <v>0.3</v>
      </c>
      <c r="O64" s="43">
        <v>0.4133</v>
      </c>
      <c r="P64" s="43"/>
      <c r="Q64" s="43">
        <v>0.25</v>
      </c>
      <c r="R64" s="43">
        <v>0.28000000000000003</v>
      </c>
      <c r="S64" s="43">
        <v>0.38</v>
      </c>
      <c r="T64" s="43">
        <v>0.38</v>
      </c>
      <c r="U64" s="43">
        <v>0</v>
      </c>
      <c r="V64" s="43">
        <v>0.30330000000000001</v>
      </c>
      <c r="W64" s="43"/>
      <c r="X64" s="43">
        <v>0.48</v>
      </c>
      <c r="Y64" s="43">
        <v>0.6</v>
      </c>
      <c r="Z64" s="43">
        <v>0.3</v>
      </c>
      <c r="AA64" s="43">
        <v>0.57999999999999996</v>
      </c>
      <c r="AB64" s="43">
        <v>0.55000000000000004</v>
      </c>
      <c r="AC64" s="43">
        <v>0.53669999999999995</v>
      </c>
      <c r="AD64" s="43"/>
      <c r="AE64" s="43">
        <v>0.6</v>
      </c>
      <c r="AF64" s="43">
        <v>0.4</v>
      </c>
      <c r="AG64" s="43">
        <v>0.3</v>
      </c>
      <c r="AH64" s="43">
        <v>0.4</v>
      </c>
      <c r="AI64" s="43">
        <v>0.57999999999999996</v>
      </c>
      <c r="AJ64" s="43">
        <v>0.46</v>
      </c>
      <c r="AK64" s="43"/>
      <c r="AL64" s="43">
        <v>0.45</v>
      </c>
      <c r="AM64" s="43">
        <v>0.53</v>
      </c>
      <c r="AN64" s="43">
        <v>0.73</v>
      </c>
      <c r="AO64" s="43">
        <v>0</v>
      </c>
      <c r="AP64" s="43">
        <v>0.63</v>
      </c>
      <c r="AQ64" s="43">
        <v>0.53669999999999995</v>
      </c>
      <c r="AR64" s="43"/>
      <c r="AS64" s="43">
        <v>0.73</v>
      </c>
      <c r="AT64" s="43">
        <v>0.1</v>
      </c>
      <c r="AU64" s="43">
        <v>0.05</v>
      </c>
      <c r="AV64" s="43">
        <v>0.35</v>
      </c>
      <c r="AW64" s="43">
        <v>0.23</v>
      </c>
      <c r="AX64" s="43">
        <v>0.22670000000000001</v>
      </c>
    </row>
    <row r="65" spans="1:50">
      <c r="A65" s="43">
        <v>37901</v>
      </c>
      <c r="B65" s="43" t="s">
        <v>175</v>
      </c>
      <c r="C65" s="43">
        <v>7.0000000000000007E-2</v>
      </c>
      <c r="D65" s="43">
        <v>0.09</v>
      </c>
      <c r="E65" s="43">
        <v>0.09</v>
      </c>
      <c r="F65" s="43">
        <v>0.08</v>
      </c>
      <c r="G65" s="43">
        <v>7.0000000000000007E-2</v>
      </c>
      <c r="H65" s="43">
        <v>0.08</v>
      </c>
      <c r="I65" s="43"/>
      <c r="J65" s="43">
        <v>0.09</v>
      </c>
      <c r="K65" s="43">
        <v>0.09</v>
      </c>
      <c r="L65" s="43">
        <v>0.1</v>
      </c>
      <c r="M65" s="43">
        <v>0.08</v>
      </c>
      <c r="N65" s="43">
        <v>7.0000000000000007E-2</v>
      </c>
      <c r="O65" s="43">
        <v>8.6699999999999999E-2</v>
      </c>
      <c r="P65" s="43"/>
      <c r="Q65" s="43">
        <v>0.09</v>
      </c>
      <c r="R65" s="43">
        <v>0.11</v>
      </c>
      <c r="S65" s="43">
        <v>0.09</v>
      </c>
      <c r="T65" s="43">
        <v>0.1</v>
      </c>
      <c r="U65" s="43">
        <v>0.08</v>
      </c>
      <c r="V65" s="43">
        <v>9.3299999999999994E-2</v>
      </c>
      <c r="W65" s="43"/>
      <c r="X65" s="43">
        <v>0.13</v>
      </c>
      <c r="Y65" s="43">
        <v>0.12</v>
      </c>
      <c r="Z65" s="43">
        <v>0.13</v>
      </c>
      <c r="AA65" s="43">
        <v>0.12</v>
      </c>
      <c r="AB65" s="43">
        <v>0.1</v>
      </c>
      <c r="AC65" s="43">
        <v>0.12330000000000001</v>
      </c>
      <c r="AD65" s="43"/>
      <c r="AE65" s="43">
        <v>0.13</v>
      </c>
      <c r="AF65" s="43">
        <v>0.11</v>
      </c>
      <c r="AG65" s="43">
        <v>0.12</v>
      </c>
      <c r="AH65" s="43">
        <v>0.13</v>
      </c>
      <c r="AI65" s="43">
        <v>0.13</v>
      </c>
      <c r="AJ65" s="43">
        <v>0.12670000000000001</v>
      </c>
      <c r="AK65" s="43"/>
      <c r="AL65" s="43">
        <v>0.11</v>
      </c>
      <c r="AM65" s="43">
        <v>0.11</v>
      </c>
      <c r="AN65" s="43">
        <v>0.11</v>
      </c>
      <c r="AO65" s="43">
        <v>0.11</v>
      </c>
      <c r="AP65" s="43">
        <v>0.1</v>
      </c>
      <c r="AQ65" s="43">
        <v>0.11</v>
      </c>
      <c r="AR65" s="43"/>
      <c r="AS65" s="43">
        <v>0.08</v>
      </c>
      <c r="AT65" s="43">
        <v>0.08</v>
      </c>
      <c r="AU65" s="43">
        <v>0.09</v>
      </c>
      <c r="AV65" s="43">
        <v>7.0000000000000007E-2</v>
      </c>
      <c r="AW65" s="43">
        <v>0.08</v>
      </c>
      <c r="AX65" s="43">
        <v>0.08</v>
      </c>
    </row>
    <row r="66" spans="1:50">
      <c r="A66" s="43">
        <v>37907</v>
      </c>
      <c r="B66" s="43" t="s">
        <v>151</v>
      </c>
      <c r="C66" s="43">
        <v>0.09</v>
      </c>
      <c r="D66" s="43">
        <v>0.1</v>
      </c>
      <c r="E66" s="43">
        <v>0.1</v>
      </c>
      <c r="F66" s="43">
        <v>0.09</v>
      </c>
      <c r="G66" s="43">
        <v>0.09</v>
      </c>
      <c r="H66" s="43">
        <v>9.3299999999999994E-2</v>
      </c>
      <c r="I66" s="43"/>
      <c r="J66" s="43">
        <v>0.1</v>
      </c>
      <c r="K66" s="43">
        <v>0.12</v>
      </c>
      <c r="L66" s="43">
        <v>0.12</v>
      </c>
      <c r="M66" s="43">
        <v>0.11</v>
      </c>
      <c r="N66" s="43">
        <v>0.09</v>
      </c>
      <c r="O66" s="43">
        <v>0.11</v>
      </c>
      <c r="P66" s="43"/>
      <c r="Q66" s="43">
        <v>0.11</v>
      </c>
      <c r="R66" s="43">
        <v>0.12</v>
      </c>
      <c r="S66" s="43">
        <v>0.11</v>
      </c>
      <c r="T66" s="43">
        <v>0.11</v>
      </c>
      <c r="U66" s="43">
        <v>0.09</v>
      </c>
      <c r="V66" s="43">
        <v>0.11</v>
      </c>
      <c r="W66" s="43"/>
      <c r="X66" s="43">
        <v>0.16</v>
      </c>
      <c r="Y66" s="43">
        <v>0.15</v>
      </c>
      <c r="Z66" s="43">
        <v>0.15</v>
      </c>
      <c r="AA66" s="43">
        <v>0.14000000000000001</v>
      </c>
      <c r="AB66" s="43">
        <v>0.14000000000000001</v>
      </c>
      <c r="AC66" s="43">
        <v>0.1467</v>
      </c>
      <c r="AD66" s="43"/>
      <c r="AE66" s="43">
        <v>0.15</v>
      </c>
      <c r="AF66" s="43">
        <v>0.14000000000000001</v>
      </c>
      <c r="AG66" s="43">
        <v>0.14000000000000001</v>
      </c>
      <c r="AH66" s="43">
        <v>0.16</v>
      </c>
      <c r="AI66" s="43">
        <v>0.15</v>
      </c>
      <c r="AJ66" s="43">
        <v>0.1467</v>
      </c>
      <c r="AK66" s="43"/>
      <c r="AL66" s="43">
        <v>0.13</v>
      </c>
      <c r="AM66" s="43">
        <v>0.12</v>
      </c>
      <c r="AN66" s="43">
        <v>0.13</v>
      </c>
      <c r="AO66" s="43">
        <v>0.13</v>
      </c>
      <c r="AP66" s="43">
        <v>0.12</v>
      </c>
      <c r="AQ66" s="43">
        <v>0.12670000000000001</v>
      </c>
      <c r="AR66" s="43"/>
      <c r="AS66" s="43">
        <v>0.09</v>
      </c>
      <c r="AT66" s="43">
        <v>0.1</v>
      </c>
      <c r="AU66" s="43">
        <v>0.11</v>
      </c>
      <c r="AV66" s="43">
        <v>0.08</v>
      </c>
      <c r="AW66" s="43">
        <v>0.09</v>
      </c>
      <c r="AX66" s="43">
        <v>9.3299999999999994E-2</v>
      </c>
    </row>
    <row r="67" spans="1:50">
      <c r="A67" s="43">
        <v>37909</v>
      </c>
      <c r="B67" s="43" t="s">
        <v>146</v>
      </c>
      <c r="C67" s="43">
        <v>0.78</v>
      </c>
      <c r="D67" s="43">
        <v>1.05</v>
      </c>
      <c r="E67" s="43">
        <v>0.81</v>
      </c>
      <c r="F67" s="43">
        <v>0.71</v>
      </c>
      <c r="G67" s="43">
        <v>0.74</v>
      </c>
      <c r="H67" s="43">
        <v>0.77669999999999995</v>
      </c>
      <c r="I67" s="43"/>
      <c r="J67" s="43">
        <v>0.88</v>
      </c>
      <c r="K67" s="43">
        <v>1.04</v>
      </c>
      <c r="L67" s="43">
        <v>1.17</v>
      </c>
      <c r="M67" s="43">
        <v>0.92</v>
      </c>
      <c r="N67" s="43">
        <v>0.73</v>
      </c>
      <c r="O67" s="43">
        <v>0.94669999999999999</v>
      </c>
      <c r="P67" s="43"/>
      <c r="Q67" s="43">
        <v>0.94</v>
      </c>
      <c r="R67" s="43">
        <v>1.05</v>
      </c>
      <c r="S67" s="43">
        <v>0.97</v>
      </c>
      <c r="T67" s="43">
        <v>1.04</v>
      </c>
      <c r="U67" s="43">
        <v>0.75</v>
      </c>
      <c r="V67" s="43">
        <v>0.98329999999999995</v>
      </c>
      <c r="W67" s="43"/>
      <c r="X67" s="43">
        <v>1.42</v>
      </c>
      <c r="Y67" s="43">
        <v>1.38</v>
      </c>
      <c r="Z67" s="43">
        <v>1.38</v>
      </c>
      <c r="AA67" s="43">
        <v>0.98</v>
      </c>
      <c r="AB67" s="43">
        <v>1.0900000000000001</v>
      </c>
      <c r="AC67" s="43">
        <v>1.2833000000000001</v>
      </c>
      <c r="AD67" s="43"/>
      <c r="AE67" s="43">
        <v>1.17</v>
      </c>
      <c r="AF67" s="43">
        <v>1.1100000000000001</v>
      </c>
      <c r="AG67" s="43">
        <v>1.26</v>
      </c>
      <c r="AH67" s="43">
        <v>1.26</v>
      </c>
      <c r="AI67" s="43">
        <v>1.1299999999999999</v>
      </c>
      <c r="AJ67" s="43">
        <v>1.1867000000000001</v>
      </c>
      <c r="AK67" s="43"/>
      <c r="AL67" s="43">
        <v>1.06</v>
      </c>
      <c r="AM67" s="43">
        <v>1.1499999999999999</v>
      </c>
      <c r="AN67" s="43">
        <v>1.28</v>
      </c>
      <c r="AO67" s="43">
        <v>1.0900000000000001</v>
      </c>
      <c r="AP67" s="43">
        <v>1.1399999999999999</v>
      </c>
      <c r="AQ67" s="43">
        <v>1.1267</v>
      </c>
      <c r="AR67" s="43"/>
      <c r="AS67" s="43">
        <v>0.75</v>
      </c>
      <c r="AT67" s="43">
        <v>0.85</v>
      </c>
      <c r="AU67" s="43">
        <v>0.93</v>
      </c>
      <c r="AV67" s="43">
        <v>0.75</v>
      </c>
      <c r="AW67" s="43">
        <v>0.63</v>
      </c>
      <c r="AX67" s="43">
        <v>0.7833</v>
      </c>
    </row>
    <row r="68" spans="1:50">
      <c r="A68" s="43">
        <v>37911</v>
      </c>
      <c r="B68" s="43" t="s">
        <v>52</v>
      </c>
      <c r="C68" s="43">
        <v>0.13</v>
      </c>
      <c r="D68" s="43">
        <v>0.17</v>
      </c>
      <c r="E68" s="43">
        <v>0.2</v>
      </c>
      <c r="F68" s="43">
        <v>0.15</v>
      </c>
      <c r="G68" s="43">
        <v>0.14000000000000001</v>
      </c>
      <c r="H68" s="43">
        <v>0.15329999999999999</v>
      </c>
      <c r="I68" s="43"/>
      <c r="J68" s="43">
        <v>0.18</v>
      </c>
      <c r="K68" s="43">
        <v>0.21</v>
      </c>
      <c r="L68" s="43">
        <v>0.21</v>
      </c>
      <c r="M68" s="43">
        <v>0.16</v>
      </c>
      <c r="N68" s="43">
        <v>0.15</v>
      </c>
      <c r="O68" s="43">
        <v>0.18329999999999999</v>
      </c>
      <c r="P68" s="43"/>
      <c r="Q68" s="43">
        <v>0.18</v>
      </c>
      <c r="R68" s="43">
        <v>0.21</v>
      </c>
      <c r="S68" s="43">
        <v>0.23</v>
      </c>
      <c r="T68" s="43">
        <v>0.17</v>
      </c>
      <c r="U68" s="43">
        <v>0.17</v>
      </c>
      <c r="V68" s="43">
        <v>0.1867</v>
      </c>
      <c r="W68" s="43"/>
      <c r="X68" s="43">
        <v>0.27</v>
      </c>
      <c r="Y68" s="43">
        <v>0.26</v>
      </c>
      <c r="Z68" s="43">
        <v>0.27</v>
      </c>
      <c r="AA68" s="43">
        <v>0.27</v>
      </c>
      <c r="AB68" s="43">
        <v>0.2</v>
      </c>
      <c r="AC68" s="43">
        <v>0.26669999999999999</v>
      </c>
      <c r="AD68" s="43"/>
      <c r="AE68" s="43">
        <v>0.28000000000000003</v>
      </c>
      <c r="AF68" s="43">
        <v>0.22</v>
      </c>
      <c r="AG68" s="43">
        <v>0.25</v>
      </c>
      <c r="AH68" s="43">
        <v>0.27</v>
      </c>
      <c r="AI68" s="43">
        <v>0.25</v>
      </c>
      <c r="AJ68" s="43">
        <v>0.25669999999999998</v>
      </c>
      <c r="AK68" s="43"/>
      <c r="AL68" s="43">
        <v>0.24</v>
      </c>
      <c r="AM68" s="43">
        <v>0.22</v>
      </c>
      <c r="AN68" s="43">
        <v>0.25</v>
      </c>
      <c r="AO68" s="43">
        <v>0.24</v>
      </c>
      <c r="AP68" s="43">
        <v>0.23</v>
      </c>
      <c r="AQ68" s="43">
        <v>0.23669999999999999</v>
      </c>
      <c r="AR68" s="43"/>
      <c r="AS68" s="43">
        <v>0.16</v>
      </c>
      <c r="AT68" s="43">
        <v>0.15</v>
      </c>
      <c r="AU68" s="43">
        <v>0.19</v>
      </c>
      <c r="AV68" s="43">
        <v>0.16</v>
      </c>
      <c r="AW68" s="43">
        <v>0.14000000000000001</v>
      </c>
      <c r="AX68" s="43">
        <v>0.15670000000000001</v>
      </c>
    </row>
    <row r="69" spans="1:50">
      <c r="A69" s="43">
        <v>37913</v>
      </c>
      <c r="B69" s="43" t="s">
        <v>148</v>
      </c>
      <c r="C69" s="43">
        <v>0.04</v>
      </c>
      <c r="D69" s="43">
        <v>0.04</v>
      </c>
      <c r="E69" s="43">
        <v>0.04</v>
      </c>
      <c r="F69" s="43">
        <v>0.03</v>
      </c>
      <c r="G69" s="43">
        <v>0.04</v>
      </c>
      <c r="H69" s="43">
        <v>0.04</v>
      </c>
      <c r="I69" s="43"/>
      <c r="J69" s="43">
        <v>0.04</v>
      </c>
      <c r="K69" s="43">
        <v>0.04</v>
      </c>
      <c r="L69" s="43">
        <v>0.04</v>
      </c>
      <c r="M69" s="43">
        <v>0.04</v>
      </c>
      <c r="N69" s="43">
        <v>0.03</v>
      </c>
      <c r="O69" s="43">
        <v>0.04</v>
      </c>
      <c r="P69" s="43"/>
      <c r="Q69" s="43">
        <v>0.04</v>
      </c>
      <c r="R69" s="43">
        <v>0.05</v>
      </c>
      <c r="S69" s="43">
        <v>0.05</v>
      </c>
      <c r="T69" s="43">
        <v>0.04</v>
      </c>
      <c r="U69" s="43">
        <v>0.03</v>
      </c>
      <c r="V69" s="43">
        <v>4.3299999999999998E-2</v>
      </c>
      <c r="W69" s="43"/>
      <c r="X69" s="43">
        <v>0.06</v>
      </c>
      <c r="Y69" s="43">
        <v>0.06</v>
      </c>
      <c r="Z69" s="43">
        <v>0.06</v>
      </c>
      <c r="AA69" s="43">
        <v>0.06</v>
      </c>
      <c r="AB69" s="43">
        <v>0.06</v>
      </c>
      <c r="AC69" s="43">
        <v>0.06</v>
      </c>
      <c r="AD69" s="43"/>
      <c r="AE69" s="43">
        <v>0.05</v>
      </c>
      <c r="AF69" s="43">
        <v>0.05</v>
      </c>
      <c r="AG69" s="43">
        <v>0.06</v>
      </c>
      <c r="AH69" s="43">
        <v>0.06</v>
      </c>
      <c r="AI69" s="43">
        <v>0.06</v>
      </c>
      <c r="AJ69" s="43">
        <v>5.67E-2</v>
      </c>
      <c r="AK69" s="43"/>
      <c r="AL69" s="43">
        <v>0.04</v>
      </c>
      <c r="AM69" s="43">
        <v>0.04</v>
      </c>
      <c r="AN69" s="43">
        <v>0.05</v>
      </c>
      <c r="AO69" s="43">
        <v>0.04</v>
      </c>
      <c r="AP69" s="43">
        <v>0.04</v>
      </c>
      <c r="AQ69" s="43">
        <v>0.04</v>
      </c>
      <c r="AR69" s="43"/>
      <c r="AS69" s="43">
        <v>0.03</v>
      </c>
      <c r="AT69" s="43">
        <v>0.04</v>
      </c>
      <c r="AU69" s="43">
        <v>0.04</v>
      </c>
      <c r="AV69" s="43">
        <v>0.03</v>
      </c>
      <c r="AW69" s="43">
        <v>0.03</v>
      </c>
      <c r="AX69" s="43">
        <v>3.3300000000000003E-2</v>
      </c>
    </row>
    <row r="70" spans="1:50">
      <c r="A70" s="43">
        <v>37915</v>
      </c>
      <c r="B70" s="43" t="s">
        <v>133</v>
      </c>
      <c r="C70" s="43">
        <v>0.28000000000000003</v>
      </c>
      <c r="D70" s="43">
        <v>0.32</v>
      </c>
      <c r="E70" s="43">
        <v>0.28999999999999998</v>
      </c>
      <c r="F70" s="43">
        <v>0.32</v>
      </c>
      <c r="G70" s="43">
        <v>0.34</v>
      </c>
      <c r="H70" s="43">
        <v>0.31</v>
      </c>
      <c r="I70" s="43"/>
      <c r="J70" s="43">
        <v>0.34</v>
      </c>
      <c r="K70" s="43">
        <v>0.35</v>
      </c>
      <c r="L70" s="43">
        <v>0.37</v>
      </c>
      <c r="M70" s="43">
        <v>0.37</v>
      </c>
      <c r="N70" s="43">
        <v>0.28000000000000003</v>
      </c>
      <c r="O70" s="43">
        <v>0.3533</v>
      </c>
      <c r="P70" s="43"/>
      <c r="Q70" s="43">
        <v>0.35</v>
      </c>
      <c r="R70" s="43">
        <v>0.38</v>
      </c>
      <c r="S70" s="43">
        <v>0.26</v>
      </c>
      <c r="T70" s="43">
        <v>0.31</v>
      </c>
      <c r="U70" s="43">
        <v>0.28999999999999998</v>
      </c>
      <c r="V70" s="43">
        <v>0.31669999999999998</v>
      </c>
      <c r="W70" s="43"/>
      <c r="X70" s="43">
        <v>0.49</v>
      </c>
      <c r="Y70" s="43">
        <v>0.41</v>
      </c>
      <c r="Z70" s="43">
        <v>0.47</v>
      </c>
      <c r="AA70" s="43">
        <v>0.43</v>
      </c>
      <c r="AB70" s="43">
        <v>0.47</v>
      </c>
      <c r="AC70" s="43">
        <v>0.45669999999999999</v>
      </c>
      <c r="AD70" s="43"/>
      <c r="AE70" s="43">
        <v>0.49</v>
      </c>
      <c r="AF70" s="43">
        <v>0.44</v>
      </c>
      <c r="AG70" s="43">
        <v>0.44</v>
      </c>
      <c r="AH70" s="43">
        <v>0.57999999999999996</v>
      </c>
      <c r="AI70" s="43">
        <v>0.45</v>
      </c>
      <c r="AJ70" s="43">
        <v>0.46</v>
      </c>
      <c r="AK70" s="43"/>
      <c r="AL70" s="43">
        <v>0.39</v>
      </c>
      <c r="AM70" s="43">
        <v>0.32</v>
      </c>
      <c r="AN70" s="43">
        <v>0.39</v>
      </c>
      <c r="AO70" s="43">
        <v>0.35</v>
      </c>
      <c r="AP70" s="43">
        <v>0.31</v>
      </c>
      <c r="AQ70" s="43">
        <v>0.3533</v>
      </c>
      <c r="AR70" s="43"/>
      <c r="AS70" s="43">
        <v>0.25</v>
      </c>
      <c r="AT70" s="43">
        <v>0.35</v>
      </c>
      <c r="AU70" s="43">
        <v>0.35</v>
      </c>
      <c r="AV70" s="43">
        <v>0.26</v>
      </c>
      <c r="AW70" s="43">
        <v>0.28000000000000003</v>
      </c>
      <c r="AX70" s="43">
        <v>0.29670000000000002</v>
      </c>
    </row>
    <row r="71" spans="1:50">
      <c r="A71" s="43">
        <v>37921</v>
      </c>
      <c r="B71" s="43" t="s">
        <v>176</v>
      </c>
      <c r="C71" s="43">
        <v>0.04</v>
      </c>
      <c r="D71" s="43">
        <v>0.05</v>
      </c>
      <c r="E71" s="43">
        <v>0.06</v>
      </c>
      <c r="F71" s="43">
        <v>0.05</v>
      </c>
      <c r="G71" s="43">
        <v>0.05</v>
      </c>
      <c r="H71" s="43">
        <v>0.05</v>
      </c>
      <c r="I71" s="43"/>
      <c r="J71" s="43">
        <v>0.06</v>
      </c>
      <c r="K71" s="43">
        <v>0.06</v>
      </c>
      <c r="L71" s="43">
        <v>0.06</v>
      </c>
      <c r="M71" s="43">
        <v>0.05</v>
      </c>
      <c r="N71" s="43">
        <v>0.05</v>
      </c>
      <c r="O71" s="43">
        <v>5.67E-2</v>
      </c>
      <c r="P71" s="43"/>
      <c r="Q71" s="43">
        <v>0.06</v>
      </c>
      <c r="R71" s="43">
        <v>0.06</v>
      </c>
      <c r="S71" s="43">
        <v>0.06</v>
      </c>
      <c r="T71" s="43">
        <v>0.05</v>
      </c>
      <c r="U71" s="43">
        <v>0.05</v>
      </c>
      <c r="V71" s="43">
        <v>5.67E-2</v>
      </c>
      <c r="W71" s="43"/>
      <c r="X71" s="43">
        <v>0.08</v>
      </c>
      <c r="Y71" s="43">
        <v>7.0000000000000007E-2</v>
      </c>
      <c r="Z71" s="43">
        <v>0.08</v>
      </c>
      <c r="AA71" s="43">
        <v>7.0000000000000007E-2</v>
      </c>
      <c r="AB71" s="43">
        <v>0.05</v>
      </c>
      <c r="AC71" s="43">
        <v>7.3300000000000004E-2</v>
      </c>
      <c r="AD71" s="43"/>
      <c r="AE71" s="43">
        <v>0.08</v>
      </c>
      <c r="AF71" s="43">
        <v>7.0000000000000007E-2</v>
      </c>
      <c r="AG71" s="43">
        <v>0.06</v>
      </c>
      <c r="AH71" s="43">
        <v>0.06</v>
      </c>
      <c r="AI71" s="43">
        <v>0.06</v>
      </c>
      <c r="AJ71" s="43">
        <v>6.3299999999999995E-2</v>
      </c>
      <c r="AK71" s="43"/>
      <c r="AL71" s="43">
        <v>7.0000000000000007E-2</v>
      </c>
      <c r="AM71" s="43">
        <v>0.06</v>
      </c>
      <c r="AN71" s="43">
        <v>7.0000000000000007E-2</v>
      </c>
      <c r="AO71" s="43">
        <v>7.0000000000000007E-2</v>
      </c>
      <c r="AP71" s="43">
        <v>7.0000000000000007E-2</v>
      </c>
      <c r="AQ71" s="43">
        <v>7.0000000000000007E-2</v>
      </c>
      <c r="AR71" s="43"/>
      <c r="AS71" s="43">
        <v>0.06</v>
      </c>
      <c r="AT71" s="43">
        <v>0.04</v>
      </c>
      <c r="AU71" s="43">
        <v>0.06</v>
      </c>
      <c r="AV71" s="43">
        <v>0.04</v>
      </c>
      <c r="AW71" s="43">
        <v>0.04</v>
      </c>
      <c r="AX71" s="43">
        <v>4.6699999999999998E-2</v>
      </c>
    </row>
    <row r="72" spans="1:50">
      <c r="A72" s="43">
        <v>37923</v>
      </c>
      <c r="B72" s="43" t="s">
        <v>167</v>
      </c>
      <c r="C72" s="43">
        <v>0.8</v>
      </c>
      <c r="D72" s="43">
        <v>1.06</v>
      </c>
      <c r="E72" s="43">
        <v>0.94</v>
      </c>
      <c r="F72" s="43">
        <v>0.8</v>
      </c>
      <c r="G72" s="43">
        <v>0.85</v>
      </c>
      <c r="H72" s="43">
        <v>0.86329999999999996</v>
      </c>
      <c r="I72" s="43"/>
      <c r="J72" s="43">
        <v>1.0900000000000001</v>
      </c>
      <c r="K72" s="43">
        <v>1.1299999999999999</v>
      </c>
      <c r="L72" s="43">
        <v>1.23</v>
      </c>
      <c r="M72" s="43">
        <v>0.92</v>
      </c>
      <c r="N72" s="43">
        <v>0.92</v>
      </c>
      <c r="O72" s="43">
        <v>1.0467</v>
      </c>
      <c r="P72" s="43"/>
      <c r="Q72" s="43">
        <v>1.05</v>
      </c>
      <c r="R72" s="43">
        <v>1.45</v>
      </c>
      <c r="S72" s="43">
        <v>0.92</v>
      </c>
      <c r="T72" s="43">
        <v>1.17</v>
      </c>
      <c r="U72" s="43">
        <v>0.96</v>
      </c>
      <c r="V72" s="43">
        <v>1.06</v>
      </c>
      <c r="W72" s="43"/>
      <c r="X72" s="43">
        <v>1.34</v>
      </c>
      <c r="Y72" s="43">
        <v>1.19</v>
      </c>
      <c r="Z72" s="43">
        <v>1.47</v>
      </c>
      <c r="AA72" s="43">
        <v>1.28</v>
      </c>
      <c r="AB72" s="43">
        <v>1</v>
      </c>
      <c r="AC72" s="43">
        <v>1.27</v>
      </c>
      <c r="AD72" s="43"/>
      <c r="AE72" s="43">
        <v>1.45</v>
      </c>
      <c r="AF72" s="43">
        <v>1.2</v>
      </c>
      <c r="AG72" s="43">
        <v>1.25</v>
      </c>
      <c r="AH72" s="43">
        <v>1.33</v>
      </c>
      <c r="AI72" s="43">
        <v>1.38</v>
      </c>
      <c r="AJ72" s="43">
        <v>1.32</v>
      </c>
      <c r="AK72" s="43"/>
      <c r="AL72" s="43">
        <v>1.19</v>
      </c>
      <c r="AM72" s="43">
        <v>1.18</v>
      </c>
      <c r="AN72" s="43">
        <v>1.29</v>
      </c>
      <c r="AO72" s="43">
        <v>1.28</v>
      </c>
      <c r="AP72" s="43">
        <v>1.24</v>
      </c>
      <c r="AQ72" s="43">
        <v>1.2366999999999999</v>
      </c>
      <c r="AR72" s="43"/>
      <c r="AS72" s="43">
        <v>0.92</v>
      </c>
      <c r="AT72" s="43">
        <v>0.92</v>
      </c>
      <c r="AU72" s="43">
        <v>1.0900000000000001</v>
      </c>
      <c r="AV72" s="43">
        <v>0.87</v>
      </c>
      <c r="AW72" s="43">
        <v>0.91</v>
      </c>
      <c r="AX72" s="43">
        <v>0.91669999999999996</v>
      </c>
    </row>
    <row r="73" spans="1:50">
      <c r="A73" s="43">
        <v>37925</v>
      </c>
      <c r="B73" s="43" t="s">
        <v>169</v>
      </c>
      <c r="C73" s="43">
        <v>0.64</v>
      </c>
      <c r="D73" s="43">
        <v>0.88</v>
      </c>
      <c r="E73" s="43">
        <v>0.65</v>
      </c>
      <c r="F73" s="43">
        <v>0.59</v>
      </c>
      <c r="G73" s="43">
        <v>0.69</v>
      </c>
      <c r="H73" s="43">
        <v>0.66</v>
      </c>
      <c r="I73" s="43"/>
      <c r="J73" s="43">
        <v>0.88</v>
      </c>
      <c r="K73" s="43">
        <v>0.8</v>
      </c>
      <c r="L73" s="43">
        <v>0.85</v>
      </c>
      <c r="M73" s="43">
        <v>0.8</v>
      </c>
      <c r="N73" s="43">
        <v>0.68</v>
      </c>
      <c r="O73" s="43">
        <v>0.81669999999999998</v>
      </c>
      <c r="P73" s="43"/>
      <c r="Q73" s="43">
        <v>0.83</v>
      </c>
      <c r="R73" s="43">
        <v>0.85</v>
      </c>
      <c r="S73" s="43">
        <v>0.81</v>
      </c>
      <c r="T73" s="43">
        <v>0.81</v>
      </c>
      <c r="U73" s="43">
        <v>0.61</v>
      </c>
      <c r="V73" s="43">
        <v>0.81669999999999998</v>
      </c>
      <c r="W73" s="43"/>
      <c r="X73" s="43">
        <v>1.26</v>
      </c>
      <c r="Y73" s="43">
        <v>1.3</v>
      </c>
      <c r="Z73" s="43">
        <v>1.03</v>
      </c>
      <c r="AA73" s="43">
        <v>1.06</v>
      </c>
      <c r="AB73" s="43">
        <v>1.17</v>
      </c>
      <c r="AC73" s="43">
        <v>1.1633</v>
      </c>
      <c r="AD73" s="43"/>
      <c r="AE73" s="43">
        <v>1.18</v>
      </c>
      <c r="AF73" s="43">
        <v>1.1000000000000001</v>
      </c>
      <c r="AG73" s="43">
        <v>1.1200000000000001</v>
      </c>
      <c r="AH73" s="43">
        <v>1.17</v>
      </c>
      <c r="AI73" s="43">
        <v>1.1499999999999999</v>
      </c>
      <c r="AJ73" s="43">
        <v>1.1467000000000001</v>
      </c>
      <c r="AK73" s="43"/>
      <c r="AL73" s="43">
        <v>1.21</v>
      </c>
      <c r="AM73" s="43">
        <v>1.03</v>
      </c>
      <c r="AN73" s="43">
        <v>1</v>
      </c>
      <c r="AO73" s="43">
        <v>0.93</v>
      </c>
      <c r="AP73" s="43">
        <v>1</v>
      </c>
      <c r="AQ73" s="43">
        <v>1.01</v>
      </c>
      <c r="AR73" s="43"/>
      <c r="AS73" s="43">
        <v>0.63</v>
      </c>
      <c r="AT73" s="43">
        <v>0.84</v>
      </c>
      <c r="AU73" s="43">
        <v>0.81</v>
      </c>
      <c r="AV73" s="43">
        <v>0.56000000000000005</v>
      </c>
      <c r="AW73" s="43">
        <v>0.77</v>
      </c>
      <c r="AX73" s="43">
        <v>0.73670000000000002</v>
      </c>
    </row>
    <row r="74" spans="1:50">
      <c r="A74" s="43">
        <v>37927</v>
      </c>
      <c r="B74" s="43" t="s">
        <v>170</v>
      </c>
      <c r="C74" s="43">
        <v>0.22</v>
      </c>
      <c r="D74" s="43">
        <v>0.26</v>
      </c>
      <c r="E74" s="43">
        <v>0.28999999999999998</v>
      </c>
      <c r="F74" s="43">
        <v>0.22</v>
      </c>
      <c r="G74" s="43">
        <v>0.2</v>
      </c>
      <c r="H74" s="43">
        <v>0.23330000000000001</v>
      </c>
      <c r="I74" s="43"/>
      <c r="J74" s="43">
        <v>0.32</v>
      </c>
      <c r="K74" s="43">
        <v>0.36</v>
      </c>
      <c r="L74" s="43">
        <v>0.22</v>
      </c>
      <c r="M74" s="43">
        <v>0.23</v>
      </c>
      <c r="N74" s="43">
        <v>0.17</v>
      </c>
      <c r="O74" s="43">
        <v>0.25669999999999998</v>
      </c>
      <c r="P74" s="43"/>
      <c r="Q74" s="43">
        <v>0.28000000000000003</v>
      </c>
      <c r="R74" s="43">
        <v>0.27</v>
      </c>
      <c r="S74" s="43">
        <v>0.26</v>
      </c>
      <c r="T74" s="43">
        <v>0.28000000000000003</v>
      </c>
      <c r="U74" s="43">
        <v>0.22</v>
      </c>
      <c r="V74" s="43">
        <v>0.27</v>
      </c>
      <c r="W74" s="43"/>
      <c r="X74" s="43">
        <v>0.34</v>
      </c>
      <c r="Y74" s="43">
        <v>0.42</v>
      </c>
      <c r="Z74" s="43">
        <v>0.36</v>
      </c>
      <c r="AA74" s="43">
        <v>0.44</v>
      </c>
      <c r="AB74" s="43">
        <v>0.28999999999999998</v>
      </c>
      <c r="AC74" s="43">
        <v>0.37330000000000002</v>
      </c>
      <c r="AD74" s="43"/>
      <c r="AE74" s="43">
        <v>0.44</v>
      </c>
      <c r="AF74" s="43">
        <v>0.28000000000000003</v>
      </c>
      <c r="AG74" s="43">
        <v>0.34</v>
      </c>
      <c r="AH74" s="43">
        <v>0.41</v>
      </c>
      <c r="AI74" s="43">
        <v>0.33</v>
      </c>
      <c r="AJ74" s="43">
        <v>0.36</v>
      </c>
      <c r="AK74" s="43"/>
      <c r="AL74" s="43">
        <v>0.42</v>
      </c>
      <c r="AM74" s="43">
        <v>0.34</v>
      </c>
      <c r="AN74" s="43">
        <v>0.46</v>
      </c>
      <c r="AO74" s="43">
        <v>0.42</v>
      </c>
      <c r="AP74" s="43">
        <v>0.43</v>
      </c>
      <c r="AQ74" s="43">
        <v>0.42330000000000001</v>
      </c>
      <c r="AR74" s="43"/>
      <c r="AS74" s="43">
        <v>0.32</v>
      </c>
      <c r="AT74" s="43">
        <v>0.2</v>
      </c>
      <c r="AU74" s="43">
        <v>0.26</v>
      </c>
      <c r="AV74" s="43">
        <v>0.18</v>
      </c>
      <c r="AW74" s="43">
        <v>0.21</v>
      </c>
      <c r="AX74" s="43">
        <v>0.2233</v>
      </c>
    </row>
    <row r="75" spans="1:50">
      <c r="A75" s="43">
        <v>37987</v>
      </c>
      <c r="B75" s="43" t="s">
        <v>44</v>
      </c>
      <c r="C75" s="43">
        <v>0.04</v>
      </c>
      <c r="D75" s="43">
        <v>0.06</v>
      </c>
      <c r="E75" s="43">
        <v>0.05</v>
      </c>
      <c r="F75" s="43">
        <v>0.04</v>
      </c>
      <c r="G75" s="43">
        <v>0.04</v>
      </c>
      <c r="H75" s="43">
        <v>4.3299999999999998E-2</v>
      </c>
      <c r="I75" s="43"/>
      <c r="J75" s="43">
        <v>0.06</v>
      </c>
      <c r="K75" s="43">
        <v>0.06</v>
      </c>
      <c r="L75" s="43">
        <v>0.06</v>
      </c>
      <c r="M75" s="43">
        <v>0.05</v>
      </c>
      <c r="N75" s="43">
        <v>0.04</v>
      </c>
      <c r="O75" s="43">
        <v>5.67E-2</v>
      </c>
      <c r="P75" s="43"/>
      <c r="Q75" s="43">
        <v>0.06</v>
      </c>
      <c r="R75" s="43">
        <v>7.0000000000000007E-2</v>
      </c>
      <c r="S75" s="43">
        <v>0.06</v>
      </c>
      <c r="T75" s="43">
        <v>0.06</v>
      </c>
      <c r="U75" s="43">
        <v>0.04</v>
      </c>
      <c r="V75" s="43">
        <v>0.06</v>
      </c>
      <c r="W75" s="43"/>
      <c r="X75" s="43">
        <v>0.08</v>
      </c>
      <c r="Y75" s="43">
        <v>0.08</v>
      </c>
      <c r="Z75" s="43">
        <v>0.08</v>
      </c>
      <c r="AA75" s="43">
        <v>7.0000000000000007E-2</v>
      </c>
      <c r="AB75" s="43">
        <v>0.06</v>
      </c>
      <c r="AC75" s="43">
        <v>7.6700000000000004E-2</v>
      </c>
      <c r="AD75" s="43"/>
      <c r="AE75" s="43">
        <v>0.08</v>
      </c>
      <c r="AF75" s="43">
        <v>7.0000000000000007E-2</v>
      </c>
      <c r="AG75" s="43">
        <v>7.0000000000000007E-2</v>
      </c>
      <c r="AH75" s="43">
        <v>0.08</v>
      </c>
      <c r="AI75" s="43">
        <v>7.0000000000000007E-2</v>
      </c>
      <c r="AJ75" s="43">
        <v>7.3300000000000004E-2</v>
      </c>
      <c r="AK75" s="43"/>
      <c r="AL75" s="43">
        <v>7.0000000000000007E-2</v>
      </c>
      <c r="AM75" s="43">
        <v>0.06</v>
      </c>
      <c r="AN75" s="43">
        <v>7.0000000000000007E-2</v>
      </c>
      <c r="AO75" s="43">
        <v>7.0000000000000007E-2</v>
      </c>
      <c r="AP75" s="43">
        <v>7.0000000000000007E-2</v>
      </c>
      <c r="AQ75" s="43">
        <v>7.0000000000000007E-2</v>
      </c>
      <c r="AR75" s="43"/>
      <c r="AS75" s="43">
        <v>0.05</v>
      </c>
      <c r="AT75" s="43">
        <v>0.05</v>
      </c>
      <c r="AU75" s="43">
        <v>0.05</v>
      </c>
      <c r="AV75" s="43">
        <v>0.04</v>
      </c>
      <c r="AW75" s="43">
        <v>0.04</v>
      </c>
      <c r="AX75" s="43">
        <v>4.6699999999999998E-2</v>
      </c>
    </row>
    <row r="76" spans="1:50">
      <c r="A76" s="43">
        <v>37989</v>
      </c>
      <c r="B76" s="43" t="s">
        <v>43</v>
      </c>
      <c r="C76" s="43">
        <v>0.17</v>
      </c>
      <c r="D76" s="43">
        <v>0.22</v>
      </c>
      <c r="E76" s="43">
        <v>0.21</v>
      </c>
      <c r="F76" s="43">
        <v>0.17</v>
      </c>
      <c r="G76" s="43">
        <v>0.17</v>
      </c>
      <c r="H76" s="43">
        <v>0.18329999999999999</v>
      </c>
      <c r="I76" s="43"/>
      <c r="J76" s="43">
        <v>0.22</v>
      </c>
      <c r="K76" s="43">
        <v>0.24</v>
      </c>
      <c r="L76" s="43">
        <v>0.24</v>
      </c>
      <c r="M76" s="43">
        <v>0.19</v>
      </c>
      <c r="N76" s="43">
        <v>0.17</v>
      </c>
      <c r="O76" s="43">
        <v>0.2167</v>
      </c>
      <c r="P76" s="43"/>
      <c r="Q76" s="43">
        <v>0.22</v>
      </c>
      <c r="R76" s="43">
        <v>0.26</v>
      </c>
      <c r="S76" s="43">
        <v>0.22</v>
      </c>
      <c r="T76" s="43">
        <v>0.23</v>
      </c>
      <c r="U76" s="43">
        <v>0.17</v>
      </c>
      <c r="V76" s="43">
        <v>0.2233</v>
      </c>
      <c r="W76" s="43"/>
      <c r="X76" s="43">
        <v>0.31</v>
      </c>
      <c r="Y76" s="43">
        <v>0.3</v>
      </c>
      <c r="Z76" s="43">
        <v>0.31</v>
      </c>
      <c r="AA76" s="43">
        <v>0.28999999999999998</v>
      </c>
      <c r="AB76" s="43">
        <v>0.25</v>
      </c>
      <c r="AC76" s="43">
        <v>0.3</v>
      </c>
      <c r="AD76" s="43"/>
      <c r="AE76" s="43">
        <v>0.3</v>
      </c>
      <c r="AF76" s="43">
        <v>0.26</v>
      </c>
      <c r="AG76" s="43">
        <v>0.28000000000000003</v>
      </c>
      <c r="AH76" s="43">
        <v>0.28999999999999998</v>
      </c>
      <c r="AI76" s="43">
        <v>0.28999999999999998</v>
      </c>
      <c r="AJ76" s="43">
        <v>0.28670000000000001</v>
      </c>
      <c r="AK76" s="43"/>
      <c r="AL76" s="43">
        <v>0.28000000000000003</v>
      </c>
      <c r="AM76" s="43">
        <v>0.25</v>
      </c>
      <c r="AN76" s="43">
        <v>0.27</v>
      </c>
      <c r="AO76" s="43">
        <v>0.26</v>
      </c>
      <c r="AP76" s="43">
        <v>0.26</v>
      </c>
      <c r="AQ76" s="43">
        <v>0.26329999999999998</v>
      </c>
      <c r="AR76" s="43"/>
      <c r="AS76" s="43">
        <v>0.2</v>
      </c>
      <c r="AT76" s="43">
        <v>0.2</v>
      </c>
      <c r="AU76" s="43">
        <v>0.21</v>
      </c>
      <c r="AV76" s="43">
        <v>0.17</v>
      </c>
      <c r="AW76" s="43">
        <v>0.17</v>
      </c>
      <c r="AX76" s="43">
        <v>0.19</v>
      </c>
    </row>
    <row r="77" spans="1:50">
      <c r="A77" s="43">
        <v>37991</v>
      </c>
      <c r="B77" s="43" t="s">
        <v>41</v>
      </c>
      <c r="C77" s="43">
        <v>0.16</v>
      </c>
      <c r="D77" s="43">
        <v>0.2</v>
      </c>
      <c r="E77" s="43">
        <v>0.19</v>
      </c>
      <c r="F77" s="43">
        <v>0.16</v>
      </c>
      <c r="G77" s="43">
        <v>0.16</v>
      </c>
      <c r="H77" s="43">
        <v>0.17</v>
      </c>
      <c r="I77" s="43"/>
      <c r="J77" s="43">
        <v>0.2</v>
      </c>
      <c r="K77" s="43">
        <v>0.22</v>
      </c>
      <c r="L77" s="43">
        <v>0.22</v>
      </c>
      <c r="M77" s="43">
        <v>0.17</v>
      </c>
      <c r="N77" s="43">
        <v>0.16</v>
      </c>
      <c r="O77" s="43">
        <v>0.19670000000000001</v>
      </c>
      <c r="P77" s="43"/>
      <c r="Q77" s="43">
        <v>0.2</v>
      </c>
      <c r="R77" s="43">
        <v>0.23</v>
      </c>
      <c r="S77" s="43">
        <v>0.2</v>
      </c>
      <c r="T77" s="43">
        <v>0.21</v>
      </c>
      <c r="U77" s="43">
        <v>0.16</v>
      </c>
      <c r="V77" s="43">
        <v>0.20330000000000001</v>
      </c>
      <c r="W77" s="43"/>
      <c r="X77" s="43">
        <v>0.28000000000000003</v>
      </c>
      <c r="Y77" s="43">
        <v>0.27</v>
      </c>
      <c r="Z77" s="43">
        <v>0.28000000000000003</v>
      </c>
      <c r="AA77" s="43">
        <v>0.26</v>
      </c>
      <c r="AB77" s="43">
        <v>0.23</v>
      </c>
      <c r="AC77" s="43">
        <v>0.27</v>
      </c>
      <c r="AD77" s="43"/>
      <c r="AE77" s="43">
        <v>0.28000000000000003</v>
      </c>
      <c r="AF77" s="43">
        <v>0.23</v>
      </c>
      <c r="AG77" s="43">
        <v>0.26</v>
      </c>
      <c r="AH77" s="43">
        <v>0.26</v>
      </c>
      <c r="AI77" s="43">
        <v>0.26</v>
      </c>
      <c r="AJ77" s="43">
        <v>0.26</v>
      </c>
      <c r="AK77" s="43"/>
      <c r="AL77" s="43">
        <v>0.25</v>
      </c>
      <c r="AM77" s="43">
        <v>0.23</v>
      </c>
      <c r="AN77" s="43">
        <v>0.25</v>
      </c>
      <c r="AO77" s="43">
        <v>0.24</v>
      </c>
      <c r="AP77" s="43">
        <v>0.24</v>
      </c>
      <c r="AQ77" s="43">
        <v>0.24329999999999999</v>
      </c>
      <c r="AR77" s="43"/>
      <c r="AS77" s="43">
        <v>0.18</v>
      </c>
      <c r="AT77" s="43">
        <v>0.18</v>
      </c>
      <c r="AU77" s="43">
        <v>0.19</v>
      </c>
      <c r="AV77" s="43">
        <v>0.15</v>
      </c>
      <c r="AW77" s="43">
        <v>0.16</v>
      </c>
      <c r="AX77" s="43">
        <v>0.17330000000000001</v>
      </c>
    </row>
    <row r="78" spans="1:50">
      <c r="A78" s="43">
        <v>37993</v>
      </c>
      <c r="B78" s="43" t="s">
        <v>36</v>
      </c>
      <c r="C78" s="43">
        <v>0.04</v>
      </c>
      <c r="D78" s="43">
        <v>0.05</v>
      </c>
      <c r="E78" s="43">
        <v>0.05</v>
      </c>
      <c r="F78" s="43">
        <v>0.03</v>
      </c>
      <c r="G78" s="43">
        <v>0.04</v>
      </c>
      <c r="H78" s="43">
        <v>4.3299999999999998E-2</v>
      </c>
      <c r="I78" s="43"/>
      <c r="J78" s="43">
        <v>0.05</v>
      </c>
      <c r="K78" s="43">
        <v>0.04</v>
      </c>
      <c r="L78" s="43">
        <v>0.06</v>
      </c>
      <c r="M78" s="43">
        <v>0.04</v>
      </c>
      <c r="N78" s="43">
        <v>0.04</v>
      </c>
      <c r="O78" s="43">
        <v>4.3299999999999998E-2</v>
      </c>
      <c r="P78" s="43"/>
      <c r="Q78" s="43">
        <v>0.05</v>
      </c>
      <c r="R78" s="43">
        <v>0.05</v>
      </c>
      <c r="S78" s="43">
        <v>0.05</v>
      </c>
      <c r="T78" s="43">
        <v>0.05</v>
      </c>
      <c r="U78" s="43">
        <v>0.04</v>
      </c>
      <c r="V78" s="43">
        <v>0.05</v>
      </c>
      <c r="W78" s="43"/>
      <c r="X78" s="43">
        <v>7.0000000000000007E-2</v>
      </c>
      <c r="Y78" s="43">
        <v>7.0000000000000007E-2</v>
      </c>
      <c r="Z78" s="43">
        <v>0.06</v>
      </c>
      <c r="AA78" s="43">
        <v>7.0000000000000007E-2</v>
      </c>
      <c r="AB78" s="43">
        <v>0.05</v>
      </c>
      <c r="AC78" s="43">
        <v>6.6699999999999995E-2</v>
      </c>
      <c r="AD78" s="43"/>
      <c r="AE78" s="43">
        <v>7.0000000000000007E-2</v>
      </c>
      <c r="AF78" s="43">
        <v>0.05</v>
      </c>
      <c r="AG78" s="43">
        <v>0.06</v>
      </c>
      <c r="AH78" s="43">
        <v>0.05</v>
      </c>
      <c r="AI78" s="43">
        <v>0.06</v>
      </c>
      <c r="AJ78" s="43">
        <v>5.67E-2</v>
      </c>
      <c r="AK78" s="43"/>
      <c r="AL78" s="43">
        <v>0.05</v>
      </c>
      <c r="AM78" s="43">
        <v>0.05</v>
      </c>
      <c r="AN78" s="43">
        <v>0.06</v>
      </c>
      <c r="AO78" s="43">
        <v>0.05</v>
      </c>
      <c r="AP78" s="43">
        <v>0.06</v>
      </c>
      <c r="AQ78" s="43">
        <v>5.33E-2</v>
      </c>
      <c r="AR78" s="43"/>
      <c r="AS78" s="43">
        <v>0.04</v>
      </c>
      <c r="AT78" s="43">
        <v>0.04</v>
      </c>
      <c r="AU78" s="43">
        <v>0.04</v>
      </c>
      <c r="AV78" s="43">
        <v>0.04</v>
      </c>
      <c r="AW78" s="43">
        <v>0.04</v>
      </c>
      <c r="AX78" s="43">
        <v>0.04</v>
      </c>
    </row>
    <row r="79" spans="1:50">
      <c r="A79" s="43">
        <v>37995</v>
      </c>
      <c r="B79" s="43" t="s">
        <v>34</v>
      </c>
      <c r="C79" s="43">
        <v>0.03</v>
      </c>
      <c r="D79" s="43">
        <v>0.03</v>
      </c>
      <c r="E79" s="43">
        <v>0.03</v>
      </c>
      <c r="F79" s="43">
        <v>0.03</v>
      </c>
      <c r="G79" s="43">
        <v>0.03</v>
      </c>
      <c r="H79" s="43">
        <v>0.03</v>
      </c>
      <c r="I79" s="43"/>
      <c r="J79" s="43">
        <v>0.03</v>
      </c>
      <c r="K79" s="43">
        <v>0.04</v>
      </c>
      <c r="L79" s="43">
        <v>0.04</v>
      </c>
      <c r="M79" s="43">
        <v>0.03</v>
      </c>
      <c r="N79" s="43">
        <v>0.03</v>
      </c>
      <c r="O79" s="43">
        <v>3.3300000000000003E-2</v>
      </c>
      <c r="P79" s="43"/>
      <c r="Q79" s="43">
        <v>0.04</v>
      </c>
      <c r="R79" s="43">
        <v>0.04</v>
      </c>
      <c r="S79" s="43">
        <v>0.03</v>
      </c>
      <c r="T79" s="43">
        <v>0.04</v>
      </c>
      <c r="U79" s="43">
        <v>0.03</v>
      </c>
      <c r="V79" s="43">
        <v>3.6700000000000003E-2</v>
      </c>
      <c r="W79" s="43"/>
      <c r="X79" s="43">
        <v>0.05</v>
      </c>
      <c r="Y79" s="43">
        <v>0.05</v>
      </c>
      <c r="Z79" s="43">
        <v>0.06</v>
      </c>
      <c r="AA79" s="43">
        <v>0.04</v>
      </c>
      <c r="AB79" s="43">
        <v>0.05</v>
      </c>
      <c r="AC79" s="43">
        <v>0.05</v>
      </c>
      <c r="AD79" s="43"/>
      <c r="AE79" s="43">
        <v>0.05</v>
      </c>
      <c r="AF79" s="43">
        <v>0.05</v>
      </c>
      <c r="AG79" s="43">
        <v>0.04</v>
      </c>
      <c r="AH79" s="43">
        <v>0.05</v>
      </c>
      <c r="AI79" s="43">
        <v>0.05</v>
      </c>
      <c r="AJ79" s="43">
        <v>0.05</v>
      </c>
      <c r="AK79" s="43"/>
      <c r="AL79" s="43">
        <v>0.05</v>
      </c>
      <c r="AM79" s="43">
        <v>0.04</v>
      </c>
      <c r="AN79" s="43">
        <v>0.04</v>
      </c>
      <c r="AO79" s="43">
        <v>0.05</v>
      </c>
      <c r="AP79" s="43">
        <v>0.05</v>
      </c>
      <c r="AQ79" s="43">
        <v>4.6699999999999998E-2</v>
      </c>
      <c r="AR79" s="43"/>
      <c r="AS79" s="43">
        <v>0.03</v>
      </c>
      <c r="AT79" s="43">
        <v>0.03</v>
      </c>
      <c r="AU79" s="43">
        <v>0.03</v>
      </c>
      <c r="AV79" s="43">
        <v>0.03</v>
      </c>
      <c r="AW79" s="43">
        <v>0.03</v>
      </c>
      <c r="AX79" s="43">
        <v>0.03</v>
      </c>
    </row>
    <row r="80" spans="1:50">
      <c r="A80" s="43">
        <v>37997</v>
      </c>
      <c r="B80" s="43" t="s">
        <v>39</v>
      </c>
      <c r="C80" s="43">
        <v>0.04</v>
      </c>
      <c r="D80" s="43">
        <v>0.08</v>
      </c>
      <c r="E80" s="43">
        <v>0.06</v>
      </c>
      <c r="F80" s="43">
        <v>0.04</v>
      </c>
      <c r="G80" s="43">
        <v>0.04</v>
      </c>
      <c r="H80" s="43">
        <v>4.6699999999999998E-2</v>
      </c>
      <c r="I80" s="43"/>
      <c r="J80" s="43">
        <v>7.0000000000000007E-2</v>
      </c>
      <c r="K80" s="43">
        <v>7.0000000000000007E-2</v>
      </c>
      <c r="L80" s="43">
        <v>0.05</v>
      </c>
      <c r="M80" s="43">
        <v>0.05</v>
      </c>
      <c r="N80" s="43">
        <v>0.04</v>
      </c>
      <c r="O80" s="43">
        <v>5.67E-2</v>
      </c>
      <c r="P80" s="43"/>
      <c r="Q80" s="43">
        <v>0.04</v>
      </c>
      <c r="R80" s="43">
        <v>0.03</v>
      </c>
      <c r="S80" s="43">
        <v>0.04</v>
      </c>
      <c r="T80" s="43">
        <v>0.06</v>
      </c>
      <c r="U80" s="43">
        <v>0.04</v>
      </c>
      <c r="V80" s="43">
        <v>0.04</v>
      </c>
      <c r="W80" s="43"/>
      <c r="X80" s="43">
        <v>0.09</v>
      </c>
      <c r="Y80" s="43">
        <v>0.1</v>
      </c>
      <c r="Z80" s="43">
        <v>7.0000000000000007E-2</v>
      </c>
      <c r="AA80" s="43">
        <v>0.09</v>
      </c>
      <c r="AB80" s="43">
        <v>0.06</v>
      </c>
      <c r="AC80" s="43">
        <v>8.3299999999999999E-2</v>
      </c>
      <c r="AD80" s="43"/>
      <c r="AE80" s="43">
        <v>0.1</v>
      </c>
      <c r="AF80" s="43">
        <v>0.06</v>
      </c>
      <c r="AG80" s="43">
        <v>0.05</v>
      </c>
      <c r="AH80" s="43">
        <v>0.1</v>
      </c>
      <c r="AI80" s="43">
        <v>7.0000000000000007E-2</v>
      </c>
      <c r="AJ80" s="43">
        <v>7.6700000000000004E-2</v>
      </c>
      <c r="AK80" s="43"/>
      <c r="AL80" s="43">
        <v>0.08</v>
      </c>
      <c r="AM80" s="43">
        <v>7.0000000000000007E-2</v>
      </c>
      <c r="AN80" s="43">
        <v>0.08</v>
      </c>
      <c r="AO80" s="43">
        <v>0.11</v>
      </c>
      <c r="AP80" s="43">
        <v>0.11</v>
      </c>
      <c r="AQ80" s="43">
        <v>0.09</v>
      </c>
      <c r="AR80" s="43"/>
      <c r="AS80" s="43">
        <v>0.06</v>
      </c>
      <c r="AT80" s="43">
        <v>0.03</v>
      </c>
      <c r="AU80" s="43">
        <v>0.04</v>
      </c>
      <c r="AV80" s="43">
        <v>0.02</v>
      </c>
      <c r="AW80" s="43">
        <v>0.05</v>
      </c>
      <c r="AX80" s="43">
        <v>0.04</v>
      </c>
    </row>
    <row r="81" spans="1:50">
      <c r="A81" s="43">
        <v>37999</v>
      </c>
      <c r="B81" s="43" t="s">
        <v>177</v>
      </c>
      <c r="C81" s="43">
        <v>0.08</v>
      </c>
      <c r="D81" s="43">
        <v>0.1</v>
      </c>
      <c r="E81" s="43">
        <v>0.09</v>
      </c>
      <c r="F81" s="43">
        <v>0.08</v>
      </c>
      <c r="G81" s="43">
        <v>0.08</v>
      </c>
      <c r="H81" s="43">
        <v>8.3299999999999999E-2</v>
      </c>
      <c r="I81" s="43"/>
      <c r="J81" s="43">
        <v>0.1</v>
      </c>
      <c r="K81" s="43">
        <v>0.11</v>
      </c>
      <c r="L81" s="43">
        <v>0.11</v>
      </c>
      <c r="M81" s="43">
        <v>0.09</v>
      </c>
      <c r="N81" s="43">
        <v>0.08</v>
      </c>
      <c r="O81" s="43">
        <v>0.1</v>
      </c>
      <c r="P81" s="43"/>
      <c r="Q81" s="43">
        <v>0.1</v>
      </c>
      <c r="R81" s="43">
        <v>0.12</v>
      </c>
      <c r="S81" s="43">
        <v>0.1</v>
      </c>
      <c r="T81" s="43">
        <v>0.1</v>
      </c>
      <c r="U81" s="43">
        <v>0.08</v>
      </c>
      <c r="V81" s="43">
        <v>0.1</v>
      </c>
      <c r="W81" s="43"/>
      <c r="X81" s="43">
        <v>0.14000000000000001</v>
      </c>
      <c r="Y81" s="43">
        <v>0.13</v>
      </c>
      <c r="Z81" s="43">
        <v>0.14000000000000001</v>
      </c>
      <c r="AA81" s="43">
        <v>0.13</v>
      </c>
      <c r="AB81" s="43">
        <v>0.11</v>
      </c>
      <c r="AC81" s="43">
        <v>0.1333</v>
      </c>
      <c r="AD81" s="43"/>
      <c r="AE81" s="43">
        <v>0.14000000000000001</v>
      </c>
      <c r="AF81" s="43">
        <v>0.12</v>
      </c>
      <c r="AG81" s="43">
        <v>0.13</v>
      </c>
      <c r="AH81" s="43">
        <v>0.13</v>
      </c>
      <c r="AI81" s="43">
        <v>0.13</v>
      </c>
      <c r="AJ81" s="43">
        <v>0.13</v>
      </c>
      <c r="AK81" s="43"/>
      <c r="AL81" s="43">
        <v>0.13</v>
      </c>
      <c r="AM81" s="43">
        <v>0.12</v>
      </c>
      <c r="AN81" s="43">
        <v>0.12</v>
      </c>
      <c r="AO81" s="43">
        <v>0.12</v>
      </c>
      <c r="AP81" s="43">
        <v>0.12</v>
      </c>
      <c r="AQ81" s="43">
        <v>0.12</v>
      </c>
      <c r="AR81" s="43"/>
      <c r="AS81" s="43">
        <v>0.09</v>
      </c>
      <c r="AT81" s="43">
        <v>0.09</v>
      </c>
      <c r="AU81" s="43">
        <v>0.1</v>
      </c>
      <c r="AV81" s="43">
        <v>7.0000000000000007E-2</v>
      </c>
      <c r="AW81" s="43">
        <v>0.08</v>
      </c>
      <c r="AX81" s="43">
        <v>8.6699999999999999E-2</v>
      </c>
    </row>
    <row r="82" spans="1:50">
      <c r="A82" s="43">
        <v>38239</v>
      </c>
      <c r="B82" s="43" t="s">
        <v>75</v>
      </c>
      <c r="C82" s="43">
        <v>1</v>
      </c>
      <c r="D82" s="43">
        <v>1</v>
      </c>
      <c r="E82" s="43">
        <v>0</v>
      </c>
      <c r="F82" s="43">
        <v>0</v>
      </c>
      <c r="G82" s="43">
        <v>1</v>
      </c>
      <c r="H82" s="43">
        <v>0.66669999999999996</v>
      </c>
      <c r="I82" s="43"/>
      <c r="J82" s="43">
        <v>3</v>
      </c>
      <c r="K82" s="43">
        <v>3</v>
      </c>
      <c r="L82" s="43">
        <v>1</v>
      </c>
      <c r="M82" s="43">
        <v>3</v>
      </c>
      <c r="N82" s="43">
        <v>0</v>
      </c>
      <c r="O82" s="43">
        <v>2.3332999999999999</v>
      </c>
      <c r="P82" s="43"/>
      <c r="Q82" s="43">
        <v>1</v>
      </c>
      <c r="R82" s="43">
        <v>0</v>
      </c>
      <c r="S82" s="43">
        <v>0</v>
      </c>
      <c r="T82" s="43">
        <v>0</v>
      </c>
      <c r="U82" s="43">
        <v>1</v>
      </c>
      <c r="V82" s="43">
        <v>0.33329999999999999</v>
      </c>
      <c r="W82" s="43"/>
      <c r="X82" s="43">
        <v>1</v>
      </c>
      <c r="Y82" s="43">
        <v>2</v>
      </c>
      <c r="Z82" s="43">
        <v>1</v>
      </c>
      <c r="AA82" s="43">
        <v>3</v>
      </c>
      <c r="AB82" s="43">
        <v>1</v>
      </c>
      <c r="AC82" s="43">
        <v>1.3332999999999999</v>
      </c>
      <c r="AD82" s="43"/>
      <c r="AE82" s="43">
        <v>3</v>
      </c>
      <c r="AF82" s="43">
        <v>1</v>
      </c>
      <c r="AG82" s="43">
        <v>2</v>
      </c>
      <c r="AH82" s="43">
        <v>3</v>
      </c>
      <c r="AI82" s="43">
        <v>3</v>
      </c>
      <c r="AJ82" s="43">
        <v>2.6667000000000001</v>
      </c>
      <c r="AK82" s="43"/>
      <c r="AL82" s="43">
        <v>1</v>
      </c>
      <c r="AM82" s="43">
        <v>0</v>
      </c>
      <c r="AN82" s="43">
        <v>0</v>
      </c>
      <c r="AO82" s="43">
        <v>1</v>
      </c>
      <c r="AP82" s="43">
        <v>1</v>
      </c>
      <c r="AQ82" s="43">
        <v>0.66669999999999996</v>
      </c>
      <c r="AR82" s="43"/>
      <c r="AS82" s="43">
        <v>0</v>
      </c>
      <c r="AT82" s="43">
        <v>3</v>
      </c>
      <c r="AU82" s="43">
        <v>2</v>
      </c>
      <c r="AV82" s="43">
        <v>0</v>
      </c>
      <c r="AW82" s="43">
        <v>0</v>
      </c>
      <c r="AX82" s="43">
        <v>0.66669999999999996</v>
      </c>
    </row>
    <row r="83" spans="1:50">
      <c r="A83" s="43">
        <v>38295</v>
      </c>
      <c r="B83" s="43" t="s">
        <v>163</v>
      </c>
      <c r="C83" s="43">
        <v>65</v>
      </c>
      <c r="D83" s="43">
        <v>99</v>
      </c>
      <c r="E83" s="43">
        <v>70</v>
      </c>
      <c r="F83" s="43">
        <v>50</v>
      </c>
      <c r="G83" s="43">
        <v>64</v>
      </c>
      <c r="H83" s="43">
        <v>66.333299999999994</v>
      </c>
      <c r="I83" s="43"/>
      <c r="J83" s="43">
        <v>97</v>
      </c>
      <c r="K83" s="43">
        <v>96</v>
      </c>
      <c r="L83" s="43">
        <v>94</v>
      </c>
      <c r="M83" s="43">
        <v>68</v>
      </c>
      <c r="N83" s="43">
        <v>79</v>
      </c>
      <c r="O83" s="43">
        <v>89.666700000000006</v>
      </c>
      <c r="P83" s="43"/>
      <c r="Q83" s="43">
        <v>89</v>
      </c>
      <c r="R83" s="43">
        <v>95</v>
      </c>
      <c r="S83" s="43">
        <v>87</v>
      </c>
      <c r="T83" s="43">
        <v>93</v>
      </c>
      <c r="U83" s="43">
        <v>67</v>
      </c>
      <c r="V83" s="43">
        <v>89.666700000000006</v>
      </c>
      <c r="W83" s="43"/>
      <c r="X83" s="43">
        <v>122</v>
      </c>
      <c r="Y83" s="43">
        <v>150</v>
      </c>
      <c r="Z83" s="43">
        <v>116</v>
      </c>
      <c r="AA83" s="43">
        <v>120</v>
      </c>
      <c r="AB83" s="43">
        <v>114</v>
      </c>
      <c r="AC83" s="43">
        <v>119.33329999999999</v>
      </c>
      <c r="AD83" s="43"/>
      <c r="AE83" s="43">
        <v>125</v>
      </c>
      <c r="AF83" s="43">
        <v>111</v>
      </c>
      <c r="AG83" s="43">
        <v>115</v>
      </c>
      <c r="AH83" s="43">
        <v>121</v>
      </c>
      <c r="AI83" s="43">
        <v>114</v>
      </c>
      <c r="AJ83" s="43">
        <v>116.66670000000001</v>
      </c>
      <c r="AK83" s="43"/>
      <c r="AL83" s="43">
        <v>133</v>
      </c>
      <c r="AM83" s="43">
        <v>120</v>
      </c>
      <c r="AN83" s="43">
        <v>119</v>
      </c>
      <c r="AO83" s="43">
        <v>114</v>
      </c>
      <c r="AP83" s="43">
        <v>118</v>
      </c>
      <c r="AQ83" s="43">
        <v>119</v>
      </c>
      <c r="AR83" s="43"/>
      <c r="AS83" s="43">
        <v>67</v>
      </c>
      <c r="AT83" s="43">
        <v>91</v>
      </c>
      <c r="AU83" s="43">
        <v>87</v>
      </c>
      <c r="AV83" s="43">
        <v>63</v>
      </c>
      <c r="AW83" s="43">
        <v>81</v>
      </c>
      <c r="AX83" s="43">
        <v>78.333299999999994</v>
      </c>
    </row>
    <row r="84" spans="1:50">
      <c r="A84" s="43">
        <v>38352</v>
      </c>
      <c r="B84" s="43" t="s">
        <v>59</v>
      </c>
      <c r="C84" s="43">
        <v>0.01</v>
      </c>
      <c r="D84" s="43">
        <v>0.02</v>
      </c>
      <c r="E84" s="43">
        <v>0.02</v>
      </c>
      <c r="F84" s="43">
        <v>0.01</v>
      </c>
      <c r="G84" s="43">
        <v>0.01</v>
      </c>
      <c r="H84" s="43">
        <v>1.3299999999999999E-2</v>
      </c>
      <c r="I84" s="43"/>
      <c r="J84" s="43">
        <v>0.01</v>
      </c>
      <c r="K84" s="43">
        <v>0.01</v>
      </c>
      <c r="L84" s="43">
        <v>0.02</v>
      </c>
      <c r="M84" s="43">
        <v>0.02</v>
      </c>
      <c r="N84" s="43">
        <v>0.01</v>
      </c>
      <c r="O84" s="43">
        <v>1.3299999999999999E-2</v>
      </c>
      <c r="P84" s="43"/>
      <c r="Q84" s="43">
        <v>0.02</v>
      </c>
      <c r="R84" s="43">
        <v>0.01</v>
      </c>
      <c r="S84" s="43">
        <v>0.01</v>
      </c>
      <c r="T84" s="43">
        <v>0.02</v>
      </c>
      <c r="U84" s="43">
        <v>0.02</v>
      </c>
      <c r="V84" s="43">
        <v>1.67E-2</v>
      </c>
      <c r="W84" s="43"/>
      <c r="X84" s="43">
        <v>0.02</v>
      </c>
      <c r="Y84" s="43">
        <v>0.03</v>
      </c>
      <c r="Z84" s="43">
        <v>0.03</v>
      </c>
      <c r="AA84" s="43">
        <v>0.03</v>
      </c>
      <c r="AB84" s="43">
        <v>0.02</v>
      </c>
      <c r="AC84" s="43">
        <v>2.6700000000000002E-2</v>
      </c>
      <c r="AD84" s="43"/>
      <c r="AE84" s="43">
        <v>0.03</v>
      </c>
      <c r="AF84" s="43">
        <v>0.03</v>
      </c>
      <c r="AG84" s="43">
        <v>0.02</v>
      </c>
      <c r="AH84" s="43">
        <v>0.02</v>
      </c>
      <c r="AI84" s="43">
        <v>0.02</v>
      </c>
      <c r="AJ84" s="43">
        <v>2.3300000000000001E-2</v>
      </c>
      <c r="AK84" s="43"/>
      <c r="AL84" s="43">
        <v>0.02</v>
      </c>
      <c r="AM84" s="43">
        <v>0.01</v>
      </c>
      <c r="AN84" s="43">
        <v>0.03</v>
      </c>
      <c r="AO84" s="43">
        <v>0.01</v>
      </c>
      <c r="AP84" s="43">
        <v>0.02</v>
      </c>
      <c r="AQ84" s="43">
        <v>1.67E-2</v>
      </c>
      <c r="AR84" s="43"/>
      <c r="AS84" s="43">
        <v>0.01</v>
      </c>
      <c r="AT84" s="43">
        <v>0.01</v>
      </c>
      <c r="AU84" s="43">
        <v>0</v>
      </c>
      <c r="AV84" s="43">
        <v>0.01</v>
      </c>
      <c r="AW84" s="43">
        <v>0.02</v>
      </c>
      <c r="AX84" s="43">
        <v>0.01</v>
      </c>
    </row>
    <row r="85" spans="1:50">
      <c r="A85" s="43">
        <v>38358</v>
      </c>
      <c r="B85" s="43" t="s">
        <v>160</v>
      </c>
      <c r="C85" s="43">
        <v>5687.5</v>
      </c>
      <c r="D85" s="43">
        <v>5932</v>
      </c>
      <c r="E85" s="43">
        <v>5427.5</v>
      </c>
      <c r="F85" s="43">
        <v>5852.5</v>
      </c>
      <c r="G85" s="43">
        <v>6306</v>
      </c>
      <c r="H85" s="43">
        <v>5824</v>
      </c>
      <c r="I85" s="43"/>
      <c r="J85" s="43">
        <v>6058.5</v>
      </c>
      <c r="K85" s="43">
        <v>6439.5</v>
      </c>
      <c r="L85" s="43">
        <v>6736</v>
      </c>
      <c r="M85" s="43">
        <v>7065</v>
      </c>
      <c r="N85" s="43">
        <v>4880.5</v>
      </c>
      <c r="O85" s="43">
        <v>6411.3329999999996</v>
      </c>
      <c r="P85" s="43"/>
      <c r="Q85" s="43">
        <v>6604.5</v>
      </c>
      <c r="R85" s="43">
        <v>7239</v>
      </c>
      <c r="S85" s="43">
        <v>5171.5</v>
      </c>
      <c r="T85" s="43">
        <v>5977.5</v>
      </c>
      <c r="U85" s="43">
        <v>5600</v>
      </c>
      <c r="V85" s="43">
        <v>6060.6670000000004</v>
      </c>
      <c r="W85" s="43"/>
      <c r="X85" s="43">
        <v>9638.5</v>
      </c>
      <c r="Y85" s="43">
        <v>7738</v>
      </c>
      <c r="Z85" s="43">
        <v>8120</v>
      </c>
      <c r="AA85" s="43">
        <v>7992.5</v>
      </c>
      <c r="AB85" s="43">
        <v>8834</v>
      </c>
      <c r="AC85" s="43">
        <v>8315.5</v>
      </c>
      <c r="AD85" s="43"/>
      <c r="AE85" s="43">
        <v>9086.5</v>
      </c>
      <c r="AF85" s="43">
        <v>8413</v>
      </c>
      <c r="AG85" s="43">
        <v>8116.5</v>
      </c>
      <c r="AH85" s="43">
        <v>11271.5</v>
      </c>
      <c r="AI85" s="43">
        <v>8416.5</v>
      </c>
      <c r="AJ85" s="43">
        <v>8638.6669999999995</v>
      </c>
      <c r="AK85" s="43"/>
      <c r="AL85" s="43">
        <v>7577.5</v>
      </c>
      <c r="AM85" s="43">
        <v>6314.5</v>
      </c>
      <c r="AN85" s="43">
        <v>7237.5</v>
      </c>
      <c r="AO85" s="43">
        <v>6313</v>
      </c>
      <c r="AP85" s="43">
        <v>5642.5</v>
      </c>
      <c r="AQ85" s="43">
        <v>6621.6670000000004</v>
      </c>
      <c r="AR85" s="43"/>
      <c r="AS85" s="43">
        <v>4883</v>
      </c>
      <c r="AT85" s="43">
        <v>6773.5</v>
      </c>
      <c r="AU85" s="43">
        <v>6656</v>
      </c>
      <c r="AV85" s="43">
        <v>4670.5</v>
      </c>
      <c r="AW85" s="43">
        <v>5176.5</v>
      </c>
      <c r="AX85" s="43">
        <v>5571.8329999999996</v>
      </c>
    </row>
    <row r="86" spans="1:50">
      <c r="A86" s="43">
        <v>38360</v>
      </c>
      <c r="B86" s="43" t="s">
        <v>158</v>
      </c>
      <c r="C86" s="43">
        <v>2760.9</v>
      </c>
      <c r="D86" s="43">
        <v>2445</v>
      </c>
      <c r="E86" s="43">
        <v>2520.9</v>
      </c>
      <c r="F86" s="43">
        <v>1950.3</v>
      </c>
      <c r="G86" s="43">
        <v>2145.9</v>
      </c>
      <c r="H86" s="43">
        <v>2370.6</v>
      </c>
      <c r="I86" s="43"/>
      <c r="J86" s="43">
        <v>2197.1999999999998</v>
      </c>
      <c r="K86" s="43">
        <v>2758.5</v>
      </c>
      <c r="L86" s="43">
        <v>3355.2</v>
      </c>
      <c r="M86" s="43">
        <v>2577.3000000000002</v>
      </c>
      <c r="N86" s="43">
        <v>1924.2</v>
      </c>
      <c r="O86" s="43">
        <v>2511</v>
      </c>
      <c r="P86" s="43"/>
      <c r="Q86" s="43">
        <v>2312.1</v>
      </c>
      <c r="R86" s="43">
        <v>3818.1</v>
      </c>
      <c r="S86" s="43">
        <v>4101.3</v>
      </c>
      <c r="T86" s="43">
        <v>2418.9</v>
      </c>
      <c r="U86" s="43">
        <v>2059.5</v>
      </c>
      <c r="V86" s="43">
        <v>2849.7</v>
      </c>
      <c r="W86" s="43"/>
      <c r="X86" s="43">
        <v>3734.7</v>
      </c>
      <c r="Y86" s="43">
        <v>4170.6000000000004</v>
      </c>
      <c r="Z86" s="43">
        <v>4235.7</v>
      </c>
      <c r="AA86" s="43">
        <v>3548.4</v>
      </c>
      <c r="AB86" s="43">
        <v>3522.9</v>
      </c>
      <c r="AC86" s="43">
        <v>3817.9</v>
      </c>
      <c r="AD86" s="43"/>
      <c r="AE86" s="43">
        <v>3408.9</v>
      </c>
      <c r="AF86" s="43">
        <v>3813</v>
      </c>
      <c r="AG86" s="43">
        <v>4270.2</v>
      </c>
      <c r="AH86" s="43">
        <v>3925.2</v>
      </c>
      <c r="AI86" s="43">
        <v>3469.8</v>
      </c>
      <c r="AJ86" s="43">
        <v>3736</v>
      </c>
      <c r="AK86" s="43"/>
      <c r="AL86" s="43">
        <v>2598</v>
      </c>
      <c r="AM86" s="43">
        <v>2962.2</v>
      </c>
      <c r="AN86" s="43">
        <v>2888.4</v>
      </c>
      <c r="AO86" s="43">
        <v>2837.7</v>
      </c>
      <c r="AP86" s="43">
        <v>2653.2</v>
      </c>
      <c r="AQ86" s="43">
        <v>2793.1</v>
      </c>
      <c r="AR86" s="43"/>
      <c r="AS86" s="43">
        <v>1613.7</v>
      </c>
      <c r="AT86" s="43">
        <v>2490.3000000000002</v>
      </c>
      <c r="AU86" s="43">
        <v>2194.8000000000002</v>
      </c>
      <c r="AV86" s="43">
        <v>1659.3</v>
      </c>
      <c r="AW86" s="43">
        <v>1965.9</v>
      </c>
      <c r="AX86" s="43">
        <v>1940</v>
      </c>
    </row>
    <row r="87" spans="1:50">
      <c r="A87" s="43">
        <v>38362</v>
      </c>
      <c r="B87" s="43" t="s">
        <v>156</v>
      </c>
      <c r="C87" s="43">
        <v>1.81</v>
      </c>
      <c r="D87" s="43">
        <v>1.58</v>
      </c>
      <c r="E87" s="43">
        <v>1.85</v>
      </c>
      <c r="F87" s="43">
        <v>1.38</v>
      </c>
      <c r="G87" s="43">
        <v>1.66</v>
      </c>
      <c r="H87" s="43">
        <v>1.6833</v>
      </c>
      <c r="I87" s="43"/>
      <c r="J87" s="43">
        <v>1.6</v>
      </c>
      <c r="K87" s="43">
        <v>1.98</v>
      </c>
      <c r="L87" s="43">
        <v>1.94</v>
      </c>
      <c r="M87" s="43">
        <v>1.77</v>
      </c>
      <c r="N87" s="43">
        <v>1.49</v>
      </c>
      <c r="O87" s="43">
        <v>1.77</v>
      </c>
      <c r="P87" s="43"/>
      <c r="Q87" s="43">
        <v>1.83</v>
      </c>
      <c r="R87" s="43">
        <v>2.15</v>
      </c>
      <c r="S87" s="43">
        <v>2.21</v>
      </c>
      <c r="T87" s="43">
        <v>1.66</v>
      </c>
      <c r="U87" s="43">
        <v>1.4</v>
      </c>
      <c r="V87" s="43">
        <v>1.88</v>
      </c>
      <c r="W87" s="43"/>
      <c r="X87" s="43">
        <v>2.9</v>
      </c>
      <c r="Y87" s="43">
        <v>2.58</v>
      </c>
      <c r="Z87" s="43">
        <v>2.5099999999999998</v>
      </c>
      <c r="AA87" s="43">
        <v>2.56</v>
      </c>
      <c r="AB87" s="43">
        <v>2.64</v>
      </c>
      <c r="AC87" s="43">
        <v>2.5933000000000002</v>
      </c>
      <c r="AD87" s="43"/>
      <c r="AE87" s="43">
        <v>2.39</v>
      </c>
      <c r="AF87" s="43">
        <v>2.39</v>
      </c>
      <c r="AG87" s="43">
        <v>2.73</v>
      </c>
      <c r="AH87" s="43">
        <v>2.79</v>
      </c>
      <c r="AI87" s="43">
        <v>2.5099999999999998</v>
      </c>
      <c r="AJ87" s="43">
        <v>2.5432999999999999</v>
      </c>
      <c r="AK87" s="43"/>
      <c r="AL87" s="43">
        <v>2.09</v>
      </c>
      <c r="AM87" s="43">
        <v>2</v>
      </c>
      <c r="AN87" s="43">
        <v>2.21</v>
      </c>
      <c r="AO87" s="43">
        <v>1.77</v>
      </c>
      <c r="AP87" s="43">
        <v>1.55</v>
      </c>
      <c r="AQ87" s="43">
        <v>1.9533</v>
      </c>
      <c r="AR87" s="43"/>
      <c r="AS87" s="43">
        <v>1.3</v>
      </c>
      <c r="AT87" s="43">
        <v>1.85</v>
      </c>
      <c r="AU87" s="43">
        <v>1.51</v>
      </c>
      <c r="AV87" s="43">
        <v>1.0900000000000001</v>
      </c>
      <c r="AW87" s="43">
        <v>1.23</v>
      </c>
      <c r="AX87" s="43">
        <v>1.3467</v>
      </c>
    </row>
    <row r="88" spans="1:50">
      <c r="A88" s="43">
        <v>38372</v>
      </c>
      <c r="B88" s="43" t="s">
        <v>161</v>
      </c>
      <c r="C88" s="43">
        <v>130</v>
      </c>
      <c r="D88" s="43">
        <v>188</v>
      </c>
      <c r="E88" s="43">
        <v>205</v>
      </c>
      <c r="F88" s="43">
        <v>159</v>
      </c>
      <c r="G88" s="43">
        <v>151</v>
      </c>
      <c r="H88" s="43">
        <v>166</v>
      </c>
      <c r="I88" s="43"/>
      <c r="J88" s="43">
        <v>174</v>
      </c>
      <c r="K88" s="43">
        <v>193</v>
      </c>
      <c r="L88" s="43">
        <v>224</v>
      </c>
      <c r="M88" s="43">
        <v>158</v>
      </c>
      <c r="N88" s="43">
        <v>149</v>
      </c>
      <c r="O88" s="43">
        <v>175</v>
      </c>
      <c r="P88" s="43"/>
      <c r="Q88" s="43">
        <v>176</v>
      </c>
      <c r="R88" s="43">
        <v>180</v>
      </c>
      <c r="S88" s="43">
        <v>208</v>
      </c>
      <c r="T88" s="43">
        <v>166</v>
      </c>
      <c r="U88" s="43">
        <v>160</v>
      </c>
      <c r="V88" s="43">
        <v>174</v>
      </c>
      <c r="W88" s="43"/>
      <c r="X88" s="43">
        <v>288</v>
      </c>
      <c r="Y88" s="43">
        <v>226</v>
      </c>
      <c r="Z88" s="43">
        <v>286</v>
      </c>
      <c r="AA88" s="43">
        <v>232</v>
      </c>
      <c r="AB88" s="43">
        <v>184</v>
      </c>
      <c r="AC88" s="43">
        <v>248</v>
      </c>
      <c r="AD88" s="43"/>
      <c r="AE88" s="43">
        <v>254</v>
      </c>
      <c r="AF88" s="43">
        <v>225</v>
      </c>
      <c r="AG88" s="43">
        <v>225</v>
      </c>
      <c r="AH88" s="43">
        <v>240</v>
      </c>
      <c r="AI88" s="43">
        <v>242</v>
      </c>
      <c r="AJ88" s="43">
        <v>235.66669999999999</v>
      </c>
      <c r="AK88" s="43"/>
      <c r="AL88" s="43">
        <v>210</v>
      </c>
      <c r="AM88" s="43">
        <v>207</v>
      </c>
      <c r="AN88" s="43">
        <v>195</v>
      </c>
      <c r="AO88" s="43">
        <v>222</v>
      </c>
      <c r="AP88" s="43">
        <v>217</v>
      </c>
      <c r="AQ88" s="43">
        <v>211.33330000000001</v>
      </c>
      <c r="AR88" s="43"/>
      <c r="AS88" s="43">
        <v>164</v>
      </c>
      <c r="AT88" s="43">
        <v>139</v>
      </c>
      <c r="AU88" s="43">
        <v>179</v>
      </c>
      <c r="AV88" s="43">
        <v>138</v>
      </c>
      <c r="AW88" s="43">
        <v>137</v>
      </c>
      <c r="AX88" s="43">
        <v>147</v>
      </c>
    </row>
    <row r="89" spans="1:50">
      <c r="A89" s="43">
        <v>38377</v>
      </c>
      <c r="B89" s="43" t="s">
        <v>162</v>
      </c>
      <c r="C89" s="43">
        <v>1232</v>
      </c>
      <c r="D89" s="43">
        <v>1876</v>
      </c>
      <c r="E89" s="43">
        <v>1568</v>
      </c>
      <c r="F89" s="43">
        <v>1260</v>
      </c>
      <c r="G89" s="43">
        <v>1344</v>
      </c>
      <c r="H89" s="43">
        <v>1390.6669999999999</v>
      </c>
      <c r="I89" s="43"/>
      <c r="J89" s="43">
        <v>1974</v>
      </c>
      <c r="K89" s="43">
        <v>1834</v>
      </c>
      <c r="L89" s="43">
        <v>1862</v>
      </c>
      <c r="M89" s="43">
        <v>1484</v>
      </c>
      <c r="N89" s="43">
        <v>1386</v>
      </c>
      <c r="O89" s="43">
        <v>1726.6669999999999</v>
      </c>
      <c r="P89" s="43"/>
      <c r="Q89" s="43">
        <v>1876</v>
      </c>
      <c r="R89" s="43">
        <v>2058</v>
      </c>
      <c r="S89" s="43">
        <v>1806</v>
      </c>
      <c r="T89" s="43">
        <v>1582</v>
      </c>
      <c r="U89" s="43">
        <v>1134</v>
      </c>
      <c r="V89" s="43">
        <v>1754.6669999999999</v>
      </c>
      <c r="W89" s="43"/>
      <c r="X89" s="43">
        <v>2240</v>
      </c>
      <c r="Y89" s="43">
        <v>2492</v>
      </c>
      <c r="Z89" s="43">
        <v>2506</v>
      </c>
      <c r="AA89" s="43">
        <v>2170</v>
      </c>
      <c r="AB89" s="43">
        <v>1848</v>
      </c>
      <c r="AC89" s="43">
        <v>2300.6669999999999</v>
      </c>
      <c r="AD89" s="43"/>
      <c r="AE89" s="43">
        <v>2702</v>
      </c>
      <c r="AF89" s="43">
        <v>2268</v>
      </c>
      <c r="AG89" s="43">
        <v>2030</v>
      </c>
      <c r="AH89" s="43">
        <v>1946</v>
      </c>
      <c r="AI89" s="43">
        <v>2142</v>
      </c>
      <c r="AJ89" s="43">
        <v>2146.6669999999999</v>
      </c>
      <c r="AK89" s="43"/>
      <c r="AL89" s="43">
        <v>2618</v>
      </c>
      <c r="AM89" s="43">
        <v>2268</v>
      </c>
      <c r="AN89" s="43">
        <v>2282</v>
      </c>
      <c r="AO89" s="43">
        <v>2184</v>
      </c>
      <c r="AP89" s="43">
        <v>2534</v>
      </c>
      <c r="AQ89" s="43">
        <v>2361.3330000000001</v>
      </c>
      <c r="AR89" s="43"/>
      <c r="AS89" s="43">
        <v>1750</v>
      </c>
      <c r="AT89" s="43">
        <v>1554</v>
      </c>
      <c r="AU89" s="43">
        <v>1750</v>
      </c>
      <c r="AV89" s="43">
        <v>1260</v>
      </c>
      <c r="AW89" s="43">
        <v>1344</v>
      </c>
      <c r="AX89" s="43">
        <v>1549.3330000000001</v>
      </c>
    </row>
    <row r="90" spans="1:50">
      <c r="A90" s="43">
        <v>38414</v>
      </c>
      <c r="B90" s="43" t="s">
        <v>150</v>
      </c>
      <c r="C90" s="43">
        <v>0.23</v>
      </c>
      <c r="D90" s="43">
        <v>0.25</v>
      </c>
      <c r="E90" s="43">
        <v>0.28999999999999998</v>
      </c>
      <c r="F90" s="43">
        <v>0.19</v>
      </c>
      <c r="G90" s="43">
        <v>0.23</v>
      </c>
      <c r="H90" s="43">
        <v>0.23669999999999999</v>
      </c>
      <c r="I90" s="43"/>
      <c r="J90" s="43">
        <v>0.28000000000000003</v>
      </c>
      <c r="K90" s="43">
        <v>0.28999999999999998</v>
      </c>
      <c r="L90" s="43">
        <v>0.28000000000000003</v>
      </c>
      <c r="M90" s="43">
        <v>0.25</v>
      </c>
      <c r="N90" s="43">
        <v>0.19</v>
      </c>
      <c r="O90" s="43">
        <v>0.27</v>
      </c>
      <c r="P90" s="43"/>
      <c r="Q90" s="43">
        <v>0.28999999999999998</v>
      </c>
      <c r="R90" s="43">
        <v>0.28000000000000003</v>
      </c>
      <c r="S90" s="43">
        <v>0.27</v>
      </c>
      <c r="T90" s="43">
        <v>0.28000000000000003</v>
      </c>
      <c r="U90" s="43">
        <v>0.23</v>
      </c>
      <c r="V90" s="43">
        <v>0.2767</v>
      </c>
      <c r="W90" s="43"/>
      <c r="X90" s="43">
        <v>0.39</v>
      </c>
      <c r="Y90" s="43">
        <v>0.39</v>
      </c>
      <c r="Z90" s="43">
        <v>0.33</v>
      </c>
      <c r="AA90" s="43">
        <v>0.39</v>
      </c>
      <c r="AB90" s="43">
        <v>0.34</v>
      </c>
      <c r="AC90" s="43">
        <v>0.37330000000000002</v>
      </c>
      <c r="AD90" s="43"/>
      <c r="AE90" s="43">
        <v>0.38</v>
      </c>
      <c r="AF90" s="43">
        <v>0.36</v>
      </c>
      <c r="AG90" s="43">
        <v>0.38</v>
      </c>
      <c r="AH90" s="43">
        <v>0.41</v>
      </c>
      <c r="AI90" s="43">
        <v>0.38</v>
      </c>
      <c r="AJ90" s="43">
        <v>0.38</v>
      </c>
      <c r="AK90" s="43"/>
      <c r="AL90" s="43">
        <v>0.34</v>
      </c>
      <c r="AM90" s="43">
        <v>0.32</v>
      </c>
      <c r="AN90" s="43">
        <v>0.37</v>
      </c>
      <c r="AO90" s="43">
        <v>0.28999999999999998</v>
      </c>
      <c r="AP90" s="43">
        <v>0.31</v>
      </c>
      <c r="AQ90" s="43">
        <v>0.32329999999999998</v>
      </c>
      <c r="AR90" s="43"/>
      <c r="AS90" s="43">
        <v>0.2</v>
      </c>
      <c r="AT90" s="43">
        <v>0.23</v>
      </c>
      <c r="AU90" s="43">
        <v>0.25</v>
      </c>
      <c r="AV90" s="43">
        <v>0.2</v>
      </c>
      <c r="AW90" s="43">
        <v>0.21</v>
      </c>
      <c r="AX90" s="43">
        <v>0.21329999999999999</v>
      </c>
    </row>
    <row r="91" spans="1:50">
      <c r="A91" s="43">
        <v>38493</v>
      </c>
      <c r="B91" s="43" t="s">
        <v>140</v>
      </c>
      <c r="C91" s="43">
        <v>0.08</v>
      </c>
      <c r="D91" s="43">
        <v>0.16</v>
      </c>
      <c r="E91" s="43">
        <v>0.15</v>
      </c>
      <c r="F91" s="43">
        <v>0.11</v>
      </c>
      <c r="G91" s="43">
        <v>0.13</v>
      </c>
      <c r="H91" s="43">
        <v>0.13</v>
      </c>
      <c r="I91" s="43"/>
      <c r="J91" s="43">
        <v>0.17</v>
      </c>
      <c r="K91" s="43">
        <v>0.14000000000000001</v>
      </c>
      <c r="L91" s="43">
        <v>0.16</v>
      </c>
      <c r="M91" s="43">
        <v>0.1</v>
      </c>
      <c r="N91" s="43">
        <v>0.13</v>
      </c>
      <c r="O91" s="43">
        <v>0.14330000000000001</v>
      </c>
      <c r="P91" s="43"/>
      <c r="Q91" s="43">
        <v>0.2</v>
      </c>
      <c r="R91" s="43">
        <v>0.17</v>
      </c>
      <c r="S91" s="43">
        <v>0.16</v>
      </c>
      <c r="T91" s="43">
        <v>0.13</v>
      </c>
      <c r="U91" s="43">
        <v>0.13</v>
      </c>
      <c r="V91" s="43">
        <v>0.15329999999999999</v>
      </c>
      <c r="W91" s="43"/>
      <c r="X91" s="43">
        <v>0.16</v>
      </c>
      <c r="Y91" s="43">
        <v>0.19</v>
      </c>
      <c r="Z91" s="43">
        <v>0.17</v>
      </c>
      <c r="AA91" s="43">
        <v>0.2</v>
      </c>
      <c r="AB91" s="43">
        <v>0.16</v>
      </c>
      <c r="AC91" s="43">
        <v>0.17330000000000001</v>
      </c>
      <c r="AD91" s="43"/>
      <c r="AE91" s="43">
        <v>0.2</v>
      </c>
      <c r="AF91" s="43">
        <v>0.16</v>
      </c>
      <c r="AG91" s="43">
        <v>0.16</v>
      </c>
      <c r="AH91" s="43">
        <v>0.2</v>
      </c>
      <c r="AI91" s="43">
        <v>0.2</v>
      </c>
      <c r="AJ91" s="43">
        <v>0.1867</v>
      </c>
      <c r="AK91" s="43"/>
      <c r="AL91" s="43">
        <v>0.2</v>
      </c>
      <c r="AM91" s="43">
        <v>0.17</v>
      </c>
      <c r="AN91" s="43">
        <v>0.18</v>
      </c>
      <c r="AO91" s="43">
        <v>0.19</v>
      </c>
      <c r="AP91" s="43">
        <v>0.21</v>
      </c>
      <c r="AQ91" s="43">
        <v>0.19</v>
      </c>
      <c r="AR91" s="43"/>
      <c r="AS91" s="43">
        <v>0.09</v>
      </c>
      <c r="AT91" s="43">
        <v>0.09</v>
      </c>
      <c r="AU91" s="43">
        <v>0.14000000000000001</v>
      </c>
      <c r="AV91" s="43">
        <v>0.13</v>
      </c>
      <c r="AW91" s="43">
        <v>0.14000000000000001</v>
      </c>
      <c r="AX91" s="43">
        <v>0.12</v>
      </c>
    </row>
    <row r="92" spans="1:50">
      <c r="A92" s="43">
        <v>38531</v>
      </c>
      <c r="B92" s="43" t="s">
        <v>80</v>
      </c>
      <c r="C92" s="43">
        <v>0</v>
      </c>
      <c r="D92" s="43">
        <v>0.01</v>
      </c>
      <c r="E92" s="43">
        <v>0</v>
      </c>
      <c r="F92" s="43">
        <v>0.01</v>
      </c>
      <c r="G92" s="43">
        <v>0.01</v>
      </c>
      <c r="H92" s="43">
        <v>6.7000000000000002E-3</v>
      </c>
      <c r="I92" s="43"/>
      <c r="J92" s="43">
        <v>0</v>
      </c>
      <c r="K92" s="43">
        <v>0.01</v>
      </c>
      <c r="L92" s="43">
        <v>0</v>
      </c>
      <c r="M92" s="43">
        <v>0.01</v>
      </c>
      <c r="N92" s="43">
        <v>0</v>
      </c>
      <c r="O92" s="43">
        <v>3.3E-3</v>
      </c>
      <c r="P92" s="43"/>
      <c r="Q92" s="43">
        <v>0.01</v>
      </c>
      <c r="R92" s="43">
        <v>0.01</v>
      </c>
      <c r="S92" s="43">
        <v>0.01</v>
      </c>
      <c r="T92" s="43">
        <v>0.01</v>
      </c>
      <c r="U92" s="43">
        <v>0.01</v>
      </c>
      <c r="V92" s="43">
        <v>0.01</v>
      </c>
      <c r="W92" s="43"/>
      <c r="X92" s="43">
        <v>0.01</v>
      </c>
      <c r="Y92" s="43">
        <v>0.04</v>
      </c>
      <c r="Z92" s="43">
        <v>0.01</v>
      </c>
      <c r="AA92" s="43">
        <v>0.03</v>
      </c>
      <c r="AB92" s="43">
        <v>0.04</v>
      </c>
      <c r="AC92" s="43">
        <v>2.6700000000000002E-2</v>
      </c>
      <c r="AD92" s="43"/>
      <c r="AE92" s="43">
        <v>0.01</v>
      </c>
      <c r="AF92" s="43">
        <v>0.03</v>
      </c>
      <c r="AG92" s="43">
        <v>0</v>
      </c>
      <c r="AH92" s="43">
        <v>0.01</v>
      </c>
      <c r="AI92" s="43">
        <v>0.03</v>
      </c>
      <c r="AJ92" s="43">
        <v>1.67E-2</v>
      </c>
      <c r="AK92" s="43"/>
      <c r="AL92" s="43">
        <v>0.01</v>
      </c>
      <c r="AM92" s="43">
        <v>0.02</v>
      </c>
      <c r="AN92" s="43">
        <v>0.01</v>
      </c>
      <c r="AO92" s="43">
        <v>0.01</v>
      </c>
      <c r="AP92" s="43">
        <v>0.03</v>
      </c>
      <c r="AQ92" s="43">
        <v>1.3299999999999999E-2</v>
      </c>
      <c r="AR92" s="43"/>
      <c r="AS92" s="43">
        <v>0.03</v>
      </c>
      <c r="AT92" s="43">
        <v>0.04</v>
      </c>
      <c r="AU92" s="43">
        <v>0.01</v>
      </c>
      <c r="AV92" s="43">
        <v>0.01</v>
      </c>
      <c r="AW92" s="43">
        <v>0.01</v>
      </c>
      <c r="AX92" s="43">
        <v>1.67E-2</v>
      </c>
    </row>
    <row r="93" spans="1:50">
      <c r="A93" s="43">
        <v>38670</v>
      </c>
      <c r="B93" s="43" t="s">
        <v>135</v>
      </c>
      <c r="C93" s="43">
        <v>0.33</v>
      </c>
      <c r="D93" s="43">
        <v>0.28000000000000003</v>
      </c>
      <c r="E93" s="43">
        <v>0.32</v>
      </c>
      <c r="F93" s="43">
        <v>0.24</v>
      </c>
      <c r="G93" s="43">
        <v>0.28000000000000003</v>
      </c>
      <c r="H93" s="43">
        <v>0.29330000000000001</v>
      </c>
      <c r="I93" s="43"/>
      <c r="J93" s="43">
        <v>0.3</v>
      </c>
      <c r="K93" s="43">
        <v>0.33</v>
      </c>
      <c r="L93" s="43">
        <v>0.34</v>
      </c>
      <c r="M93" s="43">
        <v>0.32</v>
      </c>
      <c r="N93" s="43">
        <v>0.25</v>
      </c>
      <c r="O93" s="43">
        <v>0.31669999999999998</v>
      </c>
      <c r="P93" s="43"/>
      <c r="Q93" s="43">
        <v>0.3</v>
      </c>
      <c r="R93" s="43">
        <v>0.39</v>
      </c>
      <c r="S93" s="43">
        <v>0.38</v>
      </c>
      <c r="T93" s="43">
        <v>0.34</v>
      </c>
      <c r="U93" s="43">
        <v>0.26</v>
      </c>
      <c r="V93" s="43">
        <v>0.34</v>
      </c>
      <c r="W93" s="43"/>
      <c r="X93" s="43">
        <v>0.46</v>
      </c>
      <c r="Y93" s="43">
        <v>0.43</v>
      </c>
      <c r="Z93" s="43">
        <v>0.46</v>
      </c>
      <c r="AA93" s="43">
        <v>0.44</v>
      </c>
      <c r="AB93" s="43">
        <v>0.44</v>
      </c>
      <c r="AC93" s="43">
        <v>0.44669999999999999</v>
      </c>
      <c r="AD93" s="43"/>
      <c r="AE93" s="43">
        <v>0.4</v>
      </c>
      <c r="AF93" s="43">
        <v>0.42</v>
      </c>
      <c r="AG93" s="43">
        <v>0.44</v>
      </c>
      <c r="AH93" s="43">
        <v>0.45</v>
      </c>
      <c r="AI93" s="43">
        <v>0.44</v>
      </c>
      <c r="AJ93" s="43">
        <v>0.43330000000000002</v>
      </c>
      <c r="AK93" s="43"/>
      <c r="AL93" s="43">
        <v>0.35</v>
      </c>
      <c r="AM93" s="43">
        <v>0.34</v>
      </c>
      <c r="AN93" s="43">
        <v>0.4</v>
      </c>
      <c r="AO93" s="43">
        <v>0.31</v>
      </c>
      <c r="AP93" s="43">
        <v>0.28999999999999998</v>
      </c>
      <c r="AQ93" s="43">
        <v>0.33329999999999999</v>
      </c>
      <c r="AR93" s="43"/>
      <c r="AS93" s="43">
        <v>0.24</v>
      </c>
      <c r="AT93" s="43">
        <v>0.28999999999999998</v>
      </c>
      <c r="AU93" s="43">
        <v>0.28000000000000003</v>
      </c>
      <c r="AV93" s="43">
        <v>0.21</v>
      </c>
      <c r="AW93" s="43">
        <v>0.24</v>
      </c>
      <c r="AX93" s="43">
        <v>0.25330000000000003</v>
      </c>
    </row>
    <row r="94" spans="1:50">
      <c r="A94" s="43">
        <v>38701</v>
      </c>
      <c r="B94" s="43" t="s">
        <v>116</v>
      </c>
      <c r="C94" s="43">
        <v>0.16</v>
      </c>
      <c r="D94" s="43">
        <v>0.17</v>
      </c>
      <c r="E94" s="43">
        <v>0.12</v>
      </c>
      <c r="F94" s="43">
        <v>0.1</v>
      </c>
      <c r="G94" s="43">
        <v>0.12</v>
      </c>
      <c r="H94" s="43">
        <v>0.1333</v>
      </c>
      <c r="I94" s="43"/>
      <c r="J94" s="43">
        <v>0.13</v>
      </c>
      <c r="K94" s="43">
        <v>0.15</v>
      </c>
      <c r="L94" s="43">
        <v>0.18</v>
      </c>
      <c r="M94" s="43">
        <v>0.17</v>
      </c>
      <c r="N94" s="43">
        <v>0.14000000000000001</v>
      </c>
      <c r="O94" s="43">
        <v>0.15329999999999999</v>
      </c>
      <c r="P94" s="43"/>
      <c r="Q94" s="43">
        <v>0.16</v>
      </c>
      <c r="R94" s="43">
        <v>0.2</v>
      </c>
      <c r="S94" s="43">
        <v>0.11</v>
      </c>
      <c r="T94" s="43">
        <v>0.18</v>
      </c>
      <c r="U94" s="43">
        <v>0.1</v>
      </c>
      <c r="V94" s="43">
        <v>0.15</v>
      </c>
      <c r="W94" s="43"/>
      <c r="X94" s="43">
        <v>0.23</v>
      </c>
      <c r="Y94" s="43">
        <v>0.17</v>
      </c>
      <c r="Z94" s="43">
        <v>0.22</v>
      </c>
      <c r="AA94" s="43">
        <v>0.17</v>
      </c>
      <c r="AB94" s="43">
        <v>0.19</v>
      </c>
      <c r="AC94" s="43">
        <v>0.1933</v>
      </c>
      <c r="AD94" s="43"/>
      <c r="AE94" s="43">
        <v>0.16</v>
      </c>
      <c r="AF94" s="43">
        <v>0.16</v>
      </c>
      <c r="AG94" s="43">
        <v>0.15</v>
      </c>
      <c r="AH94" s="43">
        <v>0.2</v>
      </c>
      <c r="AI94" s="43">
        <v>0.22</v>
      </c>
      <c r="AJ94" s="43">
        <v>0.17330000000000001</v>
      </c>
      <c r="AK94" s="43"/>
      <c r="AL94" s="43">
        <v>0.17</v>
      </c>
      <c r="AM94" s="43">
        <v>0.17</v>
      </c>
      <c r="AN94" s="43">
        <v>0.17</v>
      </c>
      <c r="AO94" s="43">
        <v>0.19</v>
      </c>
      <c r="AP94" s="43">
        <v>0.15</v>
      </c>
      <c r="AQ94" s="43">
        <v>0.17</v>
      </c>
      <c r="AR94" s="43"/>
      <c r="AS94" s="43">
        <v>0.14000000000000001</v>
      </c>
      <c r="AT94" s="43">
        <v>0.1</v>
      </c>
      <c r="AU94" s="43">
        <v>0.18</v>
      </c>
      <c r="AV94" s="43">
        <v>0.13</v>
      </c>
      <c r="AW94" s="43">
        <v>0.14000000000000001</v>
      </c>
      <c r="AX94" s="43">
        <v>0.13669999999999999</v>
      </c>
    </row>
    <row r="95" spans="1:50">
      <c r="A95" s="43">
        <v>38704</v>
      </c>
      <c r="B95" s="43" t="s">
        <v>85</v>
      </c>
      <c r="C95" s="43">
        <v>0</v>
      </c>
      <c r="D95" s="43">
        <v>0.21</v>
      </c>
      <c r="E95" s="43">
        <v>0.04</v>
      </c>
      <c r="F95" s="43">
        <v>0.04</v>
      </c>
      <c r="G95" s="43">
        <v>0.13</v>
      </c>
      <c r="H95" s="43">
        <v>7.0000000000000007E-2</v>
      </c>
      <c r="I95" s="43"/>
      <c r="J95" s="43">
        <v>0</v>
      </c>
      <c r="K95" s="43">
        <v>0.04</v>
      </c>
      <c r="L95" s="43">
        <v>0.13</v>
      </c>
      <c r="M95" s="43">
        <v>0.04</v>
      </c>
      <c r="N95" s="43">
        <v>0</v>
      </c>
      <c r="O95" s="43">
        <v>2.6700000000000002E-2</v>
      </c>
      <c r="P95" s="43"/>
      <c r="Q95" s="43">
        <v>0</v>
      </c>
      <c r="R95" s="43">
        <v>0</v>
      </c>
      <c r="S95" s="43">
        <v>0.04</v>
      </c>
      <c r="T95" s="43">
        <v>0.04</v>
      </c>
      <c r="U95" s="43">
        <v>0</v>
      </c>
      <c r="V95" s="43">
        <v>1.3299999999999999E-2</v>
      </c>
      <c r="W95" s="43"/>
      <c r="X95" s="43">
        <v>0</v>
      </c>
      <c r="Y95" s="43">
        <v>0</v>
      </c>
      <c r="Z95" s="43">
        <v>0.13</v>
      </c>
      <c r="AA95" s="43">
        <v>0.04</v>
      </c>
      <c r="AB95" s="43">
        <v>0</v>
      </c>
      <c r="AC95" s="43">
        <v>1.3299999999999999E-2</v>
      </c>
      <c r="AD95" s="43"/>
      <c r="AE95" s="43">
        <v>0.04</v>
      </c>
      <c r="AF95" s="43">
        <v>0.04</v>
      </c>
      <c r="AG95" s="43">
        <v>0.13</v>
      </c>
      <c r="AH95" s="43">
        <v>0</v>
      </c>
      <c r="AI95" s="43">
        <v>0</v>
      </c>
      <c r="AJ95" s="43">
        <v>2.6700000000000002E-2</v>
      </c>
      <c r="AK95" s="43"/>
      <c r="AL95" s="43">
        <v>0.04</v>
      </c>
      <c r="AM95" s="43">
        <v>0</v>
      </c>
      <c r="AN95" s="43">
        <v>0.08</v>
      </c>
      <c r="AO95" s="43">
        <v>0</v>
      </c>
      <c r="AP95" s="43">
        <v>0</v>
      </c>
      <c r="AQ95" s="43">
        <v>1.3299999999999999E-2</v>
      </c>
      <c r="AR95" s="43"/>
      <c r="AS95" s="43">
        <v>0.08</v>
      </c>
      <c r="AT95" s="43">
        <v>0</v>
      </c>
      <c r="AU95" s="43">
        <v>0.04</v>
      </c>
      <c r="AV95" s="43">
        <v>0.04</v>
      </c>
      <c r="AW95" s="43">
        <v>0</v>
      </c>
      <c r="AX95" s="43">
        <v>2.6700000000000002E-2</v>
      </c>
    </row>
    <row r="96" spans="1:50">
      <c r="A96" s="43">
        <v>38705</v>
      </c>
      <c r="B96" s="43" t="s">
        <v>86</v>
      </c>
      <c r="C96" s="43">
        <v>0.04</v>
      </c>
      <c r="D96" s="43">
        <v>0.04</v>
      </c>
      <c r="E96" s="43">
        <v>0.17</v>
      </c>
      <c r="F96" s="43">
        <v>0.21</v>
      </c>
      <c r="G96" s="43">
        <v>0.08</v>
      </c>
      <c r="H96" s="43">
        <v>9.6699999999999994E-2</v>
      </c>
      <c r="I96" s="43"/>
      <c r="J96" s="43">
        <v>0.33</v>
      </c>
      <c r="K96" s="43">
        <v>0.13</v>
      </c>
      <c r="L96" s="43">
        <v>0.04</v>
      </c>
      <c r="M96" s="43">
        <v>0.08</v>
      </c>
      <c r="N96" s="43">
        <v>0.04</v>
      </c>
      <c r="O96" s="43">
        <v>8.3299999999999999E-2</v>
      </c>
      <c r="P96" s="43"/>
      <c r="Q96" s="43">
        <v>0.04</v>
      </c>
      <c r="R96" s="43">
        <v>0.04</v>
      </c>
      <c r="S96" s="43">
        <v>0.21</v>
      </c>
      <c r="T96" s="43">
        <v>0.04</v>
      </c>
      <c r="U96" s="43">
        <v>0.21</v>
      </c>
      <c r="V96" s="43">
        <v>9.6699999999999994E-2</v>
      </c>
      <c r="W96" s="43"/>
      <c r="X96" s="43">
        <v>0.17</v>
      </c>
      <c r="Y96" s="43">
        <v>0.04</v>
      </c>
      <c r="Z96" s="43">
        <v>0.21</v>
      </c>
      <c r="AA96" s="43">
        <v>0.21</v>
      </c>
      <c r="AB96" s="43">
        <v>0.17</v>
      </c>
      <c r="AC96" s="43">
        <v>0.18329999999999999</v>
      </c>
      <c r="AD96" s="43"/>
      <c r="AE96" s="43">
        <v>0.13</v>
      </c>
      <c r="AF96" s="43">
        <v>0.17</v>
      </c>
      <c r="AG96" s="43">
        <v>0.17</v>
      </c>
      <c r="AH96" s="43">
        <v>0.25</v>
      </c>
      <c r="AI96" s="43">
        <v>0.25</v>
      </c>
      <c r="AJ96" s="43">
        <v>0.19670000000000001</v>
      </c>
      <c r="AK96" s="43"/>
      <c r="AL96" s="43">
        <v>0.08</v>
      </c>
      <c r="AM96" s="43">
        <v>0.17</v>
      </c>
      <c r="AN96" s="43">
        <v>0.17</v>
      </c>
      <c r="AO96" s="43">
        <v>0.17</v>
      </c>
      <c r="AP96" s="43">
        <v>0.25</v>
      </c>
      <c r="AQ96" s="43">
        <v>0.17</v>
      </c>
      <c r="AR96" s="43"/>
      <c r="AS96" s="43">
        <v>0.04</v>
      </c>
      <c r="AT96" s="43">
        <v>0.13</v>
      </c>
      <c r="AU96" s="43">
        <v>0.17</v>
      </c>
      <c r="AV96" s="43">
        <v>0.04</v>
      </c>
      <c r="AW96" s="43">
        <v>0.17</v>
      </c>
      <c r="AX96" s="43">
        <v>0.1133</v>
      </c>
    </row>
    <row r="97" spans="1:50">
      <c r="A97" s="43">
        <v>38722</v>
      </c>
      <c r="B97" s="43" t="s">
        <v>144</v>
      </c>
      <c r="C97" s="43">
        <v>0.04</v>
      </c>
      <c r="D97" s="43">
        <v>7.0000000000000007E-2</v>
      </c>
      <c r="E97" s="43">
        <v>0.05</v>
      </c>
      <c r="F97" s="43">
        <v>7.0000000000000007E-2</v>
      </c>
      <c r="G97" s="43">
        <v>0.05</v>
      </c>
      <c r="H97" s="43">
        <v>5.67E-2</v>
      </c>
      <c r="I97" s="43"/>
      <c r="J97" s="43">
        <v>0.08</v>
      </c>
      <c r="K97" s="43">
        <v>0.06</v>
      </c>
      <c r="L97" s="43">
        <v>0.08</v>
      </c>
      <c r="M97" s="43">
        <v>0.05</v>
      </c>
      <c r="N97" s="43">
        <v>0.06</v>
      </c>
      <c r="O97" s="43">
        <v>6.6699999999999995E-2</v>
      </c>
      <c r="P97" s="43"/>
      <c r="Q97" s="43">
        <v>0.1</v>
      </c>
      <c r="R97" s="43">
        <v>0.09</v>
      </c>
      <c r="S97" s="43">
        <v>0.08</v>
      </c>
      <c r="T97" s="43">
        <v>0.09</v>
      </c>
      <c r="U97" s="43">
        <v>0.08</v>
      </c>
      <c r="V97" s="43">
        <v>8.6699999999999999E-2</v>
      </c>
      <c r="W97" s="43"/>
      <c r="X97" s="43">
        <v>0.08</v>
      </c>
      <c r="Y97" s="43">
        <v>0.09</v>
      </c>
      <c r="Z97" s="43">
        <v>0.13</v>
      </c>
      <c r="AA97" s="43">
        <v>0.1</v>
      </c>
      <c r="AB97" s="43">
        <v>7.0000000000000007E-2</v>
      </c>
      <c r="AC97" s="43">
        <v>0.09</v>
      </c>
      <c r="AD97" s="43"/>
      <c r="AE97" s="43">
        <v>0.09</v>
      </c>
      <c r="AF97" s="43">
        <v>0.06</v>
      </c>
      <c r="AG97" s="43">
        <v>0.09</v>
      </c>
      <c r="AH97" s="43">
        <v>0.11</v>
      </c>
      <c r="AI97" s="43">
        <v>0.09</v>
      </c>
      <c r="AJ97" s="43">
        <v>0.09</v>
      </c>
      <c r="AK97" s="43"/>
      <c r="AL97" s="43">
        <v>0.09</v>
      </c>
      <c r="AM97" s="43">
        <v>7.0000000000000007E-2</v>
      </c>
      <c r="AN97" s="43">
        <v>0.08</v>
      </c>
      <c r="AO97" s="43">
        <v>0.11</v>
      </c>
      <c r="AP97" s="43">
        <v>0.11</v>
      </c>
      <c r="AQ97" s="43">
        <v>9.3299999999999994E-2</v>
      </c>
      <c r="AR97" s="43"/>
      <c r="AS97" s="43">
        <v>7.0000000000000007E-2</v>
      </c>
      <c r="AT97" s="43">
        <v>0.05</v>
      </c>
      <c r="AU97" s="43">
        <v>0.08</v>
      </c>
      <c r="AV97" s="43">
        <v>0.09</v>
      </c>
      <c r="AW97" s="43">
        <v>0.05</v>
      </c>
      <c r="AX97" s="43">
        <v>6.6699999999999995E-2</v>
      </c>
    </row>
    <row r="98" spans="1:50">
      <c r="A98" s="43">
        <v>38892</v>
      </c>
      <c r="B98" s="43" t="s">
        <v>47</v>
      </c>
      <c r="C98" s="43">
        <v>0.14000000000000001</v>
      </c>
      <c r="D98" s="43">
        <v>0.17</v>
      </c>
      <c r="E98" s="43">
        <v>0.19</v>
      </c>
      <c r="F98" s="43">
        <v>0.11</v>
      </c>
      <c r="G98" s="43">
        <v>0.15</v>
      </c>
      <c r="H98" s="43">
        <v>0.15329999999999999</v>
      </c>
      <c r="I98" s="43"/>
      <c r="J98" s="43">
        <v>0.18</v>
      </c>
      <c r="K98" s="43">
        <v>0.17</v>
      </c>
      <c r="L98" s="43">
        <v>0.24</v>
      </c>
      <c r="M98" s="43">
        <v>0.2</v>
      </c>
      <c r="N98" s="43">
        <v>0.22</v>
      </c>
      <c r="O98" s="43">
        <v>0.2</v>
      </c>
      <c r="P98" s="43"/>
      <c r="Q98" s="43">
        <v>0.18</v>
      </c>
      <c r="R98" s="43">
        <v>0.14000000000000001</v>
      </c>
      <c r="S98" s="43">
        <v>0.2</v>
      </c>
      <c r="T98" s="43">
        <v>0.22</v>
      </c>
      <c r="U98" s="43">
        <v>0.2</v>
      </c>
      <c r="V98" s="43">
        <v>0.1933</v>
      </c>
      <c r="W98" s="43"/>
      <c r="X98" s="43">
        <v>0.27</v>
      </c>
      <c r="Y98" s="43">
        <v>0.22</v>
      </c>
      <c r="Z98" s="43">
        <v>0.27</v>
      </c>
      <c r="AA98" s="43">
        <v>0.14000000000000001</v>
      </c>
      <c r="AB98" s="43">
        <v>0.18</v>
      </c>
      <c r="AC98" s="43">
        <v>0.2233</v>
      </c>
      <c r="AD98" s="43"/>
      <c r="AE98" s="43">
        <v>0.27</v>
      </c>
      <c r="AF98" s="43">
        <v>0.28000000000000003</v>
      </c>
      <c r="AG98" s="43">
        <v>0.2</v>
      </c>
      <c r="AH98" s="43">
        <v>0.21</v>
      </c>
      <c r="AI98" s="43">
        <v>0.26</v>
      </c>
      <c r="AJ98" s="43">
        <v>0.2467</v>
      </c>
      <c r="AK98" s="43"/>
      <c r="AL98" s="43">
        <v>0.18</v>
      </c>
      <c r="AM98" s="43">
        <v>0.21</v>
      </c>
      <c r="AN98" s="43">
        <v>0.24</v>
      </c>
      <c r="AO98" s="43">
        <v>0.24</v>
      </c>
      <c r="AP98" s="43">
        <v>0.27</v>
      </c>
      <c r="AQ98" s="43">
        <v>0.23</v>
      </c>
      <c r="AR98" s="43"/>
      <c r="AS98" s="43">
        <v>0.13</v>
      </c>
      <c r="AT98" s="43">
        <v>0.11</v>
      </c>
      <c r="AU98" s="43">
        <v>0.18</v>
      </c>
      <c r="AV98" s="43">
        <v>0.12</v>
      </c>
      <c r="AW98" s="43">
        <v>0.14000000000000001</v>
      </c>
      <c r="AX98" s="43">
        <v>0.13</v>
      </c>
    </row>
    <row r="99" spans="1:50">
      <c r="A99" s="43">
        <v>39139</v>
      </c>
      <c r="B99" s="43" t="s">
        <v>125</v>
      </c>
      <c r="C99" s="43">
        <v>1.1100000000000001</v>
      </c>
      <c r="D99" s="43">
        <v>1.71</v>
      </c>
      <c r="E99" s="43">
        <v>1.24</v>
      </c>
      <c r="F99" s="43">
        <v>1.1200000000000001</v>
      </c>
      <c r="G99" s="43">
        <v>0.98</v>
      </c>
      <c r="H99" s="43">
        <v>1.1567000000000001</v>
      </c>
      <c r="I99" s="43"/>
      <c r="J99" s="43">
        <v>1.56</v>
      </c>
      <c r="K99" s="43">
        <v>1.73</v>
      </c>
      <c r="L99" s="43">
        <v>1.65</v>
      </c>
      <c r="M99" s="43">
        <v>1.37</v>
      </c>
      <c r="N99" s="43">
        <v>1.0900000000000001</v>
      </c>
      <c r="O99" s="43">
        <v>1.5266999999999999</v>
      </c>
      <c r="P99" s="43"/>
      <c r="Q99" s="43">
        <v>1.61</v>
      </c>
      <c r="R99" s="43">
        <v>1.79</v>
      </c>
      <c r="S99" s="43">
        <v>1.58</v>
      </c>
      <c r="T99" s="43">
        <v>1.51</v>
      </c>
      <c r="U99" s="43">
        <v>1.31</v>
      </c>
      <c r="V99" s="43">
        <v>1.5667</v>
      </c>
      <c r="W99" s="43"/>
      <c r="X99" s="43">
        <v>2.44</v>
      </c>
      <c r="Y99" s="43">
        <v>2.1</v>
      </c>
      <c r="Z99" s="43">
        <v>2.5</v>
      </c>
      <c r="AA99" s="43">
        <v>2.15</v>
      </c>
      <c r="AB99" s="43">
        <v>1.77</v>
      </c>
      <c r="AC99" s="43">
        <v>2.23</v>
      </c>
      <c r="AD99" s="43"/>
      <c r="AE99" s="43">
        <v>2.23</v>
      </c>
      <c r="AF99" s="43">
        <v>1.98</v>
      </c>
      <c r="AG99" s="43">
        <v>1.74</v>
      </c>
      <c r="AH99" s="43">
        <v>2.4900000000000002</v>
      </c>
      <c r="AI99" s="43">
        <v>2.3199999999999998</v>
      </c>
      <c r="AJ99" s="43">
        <v>2.1766999999999999</v>
      </c>
      <c r="AK99" s="43"/>
      <c r="AL99" s="43">
        <v>2.11</v>
      </c>
      <c r="AM99" s="43">
        <v>1.82</v>
      </c>
      <c r="AN99" s="43">
        <v>1.8</v>
      </c>
      <c r="AO99" s="43">
        <v>1.92</v>
      </c>
      <c r="AP99" s="43">
        <v>2.2000000000000002</v>
      </c>
      <c r="AQ99" s="43">
        <v>1.95</v>
      </c>
      <c r="AR99" s="43"/>
      <c r="AS99" s="43">
        <v>1.31</v>
      </c>
      <c r="AT99" s="43">
        <v>1.1599999999999999</v>
      </c>
      <c r="AU99" s="43">
        <v>1.64</v>
      </c>
      <c r="AV99" s="43">
        <v>1.08</v>
      </c>
      <c r="AW99" s="43">
        <v>1.21</v>
      </c>
      <c r="AX99" s="43">
        <v>1.2266999999999999</v>
      </c>
    </row>
    <row r="100" spans="1:50">
      <c r="A100" s="43">
        <v>39185</v>
      </c>
      <c r="B100" s="43" t="s">
        <v>152</v>
      </c>
      <c r="C100" s="43">
        <v>0.03</v>
      </c>
      <c r="D100" s="43">
        <v>0.04</v>
      </c>
      <c r="E100" s="43">
        <v>0.03</v>
      </c>
      <c r="F100" s="43">
        <v>0.03</v>
      </c>
      <c r="G100" s="43">
        <v>0.04</v>
      </c>
      <c r="H100" s="43">
        <v>3.3300000000000003E-2</v>
      </c>
      <c r="I100" s="43"/>
      <c r="J100" s="43">
        <v>0.04</v>
      </c>
      <c r="K100" s="43">
        <v>0.05</v>
      </c>
      <c r="L100" s="43">
        <v>0.05</v>
      </c>
      <c r="M100" s="43">
        <v>0.04</v>
      </c>
      <c r="N100" s="43">
        <v>0.04</v>
      </c>
      <c r="O100" s="43">
        <v>4.3299999999999998E-2</v>
      </c>
      <c r="P100" s="43"/>
      <c r="Q100" s="43">
        <v>0.04</v>
      </c>
      <c r="R100" s="43">
        <v>0.05</v>
      </c>
      <c r="S100" s="43">
        <v>0.04</v>
      </c>
      <c r="T100" s="43">
        <v>0.05</v>
      </c>
      <c r="U100" s="43">
        <v>0.04</v>
      </c>
      <c r="V100" s="43">
        <v>4.3299999999999998E-2</v>
      </c>
      <c r="W100" s="43"/>
      <c r="X100" s="43">
        <v>7.0000000000000007E-2</v>
      </c>
      <c r="Y100" s="43">
        <v>7.0000000000000007E-2</v>
      </c>
      <c r="Z100" s="43">
        <v>0.06</v>
      </c>
      <c r="AA100" s="43">
        <v>0.05</v>
      </c>
      <c r="AB100" s="43">
        <v>0.05</v>
      </c>
      <c r="AC100" s="43">
        <v>0.06</v>
      </c>
      <c r="AD100" s="43"/>
      <c r="AE100" s="43">
        <v>0.06</v>
      </c>
      <c r="AF100" s="43">
        <v>0.06</v>
      </c>
      <c r="AG100" s="43">
        <v>0.05</v>
      </c>
      <c r="AH100" s="43">
        <v>0.04</v>
      </c>
      <c r="AI100" s="43">
        <v>0.06</v>
      </c>
      <c r="AJ100" s="43">
        <v>5.67E-2</v>
      </c>
      <c r="AK100" s="43"/>
      <c r="AL100" s="43">
        <v>0.05</v>
      </c>
      <c r="AM100" s="43">
        <v>0.04</v>
      </c>
      <c r="AN100" s="43">
        <v>0.05</v>
      </c>
      <c r="AO100" s="43">
        <v>0.05</v>
      </c>
      <c r="AP100" s="43">
        <v>0.05</v>
      </c>
      <c r="AQ100" s="43">
        <v>0.05</v>
      </c>
      <c r="AR100" s="43"/>
      <c r="AS100" s="43">
        <v>0.04</v>
      </c>
      <c r="AT100" s="43">
        <v>0.04</v>
      </c>
      <c r="AU100" s="43">
        <v>0.04</v>
      </c>
      <c r="AV100" s="43">
        <v>0.03</v>
      </c>
      <c r="AW100" s="43">
        <v>0.03</v>
      </c>
      <c r="AX100" s="43">
        <v>3.6700000000000003E-2</v>
      </c>
    </row>
    <row r="101" spans="1:50">
      <c r="A101" s="43">
        <v>39520</v>
      </c>
      <c r="B101" s="43" t="s">
        <v>123</v>
      </c>
      <c r="C101" s="43">
        <v>1.23</v>
      </c>
      <c r="D101" s="43">
        <v>1.45</v>
      </c>
      <c r="E101" s="43">
        <v>1.42</v>
      </c>
      <c r="F101" s="43">
        <v>1.1599999999999999</v>
      </c>
      <c r="G101" s="43">
        <v>1.31</v>
      </c>
      <c r="H101" s="43">
        <v>1.32</v>
      </c>
      <c r="I101" s="43"/>
      <c r="J101" s="43">
        <v>1.46</v>
      </c>
      <c r="K101" s="43">
        <v>1.46</v>
      </c>
      <c r="L101" s="43">
        <v>1.71</v>
      </c>
      <c r="M101" s="43">
        <v>1.24</v>
      </c>
      <c r="N101" s="43">
        <v>1.27</v>
      </c>
      <c r="O101" s="43">
        <v>1.3967000000000001</v>
      </c>
      <c r="P101" s="43"/>
      <c r="Q101" s="43">
        <v>1.41</v>
      </c>
      <c r="R101" s="43">
        <v>1.68</v>
      </c>
      <c r="S101" s="43">
        <v>1.58</v>
      </c>
      <c r="T101" s="43">
        <v>1.44</v>
      </c>
      <c r="U101" s="43">
        <v>1.19</v>
      </c>
      <c r="V101" s="43">
        <v>1.4766999999999999</v>
      </c>
      <c r="W101" s="43"/>
      <c r="X101" s="43">
        <v>1.96</v>
      </c>
      <c r="Y101" s="43">
        <v>2.0699999999999998</v>
      </c>
      <c r="Z101" s="43">
        <v>1.98</v>
      </c>
      <c r="AA101" s="43">
        <v>1.87</v>
      </c>
      <c r="AB101" s="43">
        <v>1.64</v>
      </c>
      <c r="AC101" s="43">
        <v>1.9367000000000001</v>
      </c>
      <c r="AD101" s="43"/>
      <c r="AE101" s="43">
        <v>2.17</v>
      </c>
      <c r="AF101" s="43">
        <v>1.82</v>
      </c>
      <c r="AG101" s="43">
        <v>1.99</v>
      </c>
      <c r="AH101" s="43">
        <v>1.93</v>
      </c>
      <c r="AI101" s="43">
        <v>1.83</v>
      </c>
      <c r="AJ101" s="43">
        <v>1.9167000000000001</v>
      </c>
      <c r="AK101" s="43"/>
      <c r="AL101" s="43">
        <v>1.75</v>
      </c>
      <c r="AM101" s="43">
        <v>1.75</v>
      </c>
      <c r="AN101" s="43">
        <v>1.69</v>
      </c>
      <c r="AO101" s="43">
        <v>1.69</v>
      </c>
      <c r="AP101" s="43">
        <v>1.68</v>
      </c>
      <c r="AQ101" s="43">
        <v>1.71</v>
      </c>
      <c r="AR101" s="43"/>
      <c r="AS101" s="43">
        <v>1.1599999999999999</v>
      </c>
      <c r="AT101" s="43">
        <v>1.35</v>
      </c>
      <c r="AU101" s="43">
        <v>1.32</v>
      </c>
      <c r="AV101" s="43">
        <v>1.07</v>
      </c>
      <c r="AW101" s="43">
        <v>1.1499999999999999</v>
      </c>
      <c r="AX101" s="43">
        <v>1.21</v>
      </c>
    </row>
    <row r="102" spans="1:50">
      <c r="A102" s="43">
        <v>39744</v>
      </c>
      <c r="B102" s="43" t="s">
        <v>68</v>
      </c>
      <c r="C102" s="43">
        <v>0.12</v>
      </c>
      <c r="D102" s="43">
        <v>0.16</v>
      </c>
      <c r="E102" s="43">
        <v>0.14000000000000001</v>
      </c>
      <c r="F102" s="43">
        <v>0.11</v>
      </c>
      <c r="G102" s="43">
        <v>0.11</v>
      </c>
      <c r="H102" s="43">
        <v>0.12330000000000001</v>
      </c>
      <c r="I102" s="43"/>
      <c r="J102" s="43">
        <v>0.18</v>
      </c>
      <c r="K102" s="43">
        <v>0.13</v>
      </c>
      <c r="L102" s="43">
        <v>0.19</v>
      </c>
      <c r="M102" s="43">
        <v>0.16</v>
      </c>
      <c r="N102" s="43">
        <v>0.15</v>
      </c>
      <c r="O102" s="43">
        <v>0.1633</v>
      </c>
      <c r="P102" s="43"/>
      <c r="Q102" s="43">
        <v>0.14000000000000001</v>
      </c>
      <c r="R102" s="43">
        <v>0.13</v>
      </c>
      <c r="S102" s="43">
        <v>0.17</v>
      </c>
      <c r="T102" s="43">
        <v>0.15</v>
      </c>
      <c r="U102" s="43">
        <v>0.12</v>
      </c>
      <c r="V102" s="43">
        <v>0.14000000000000001</v>
      </c>
      <c r="W102" s="43"/>
      <c r="X102" s="43">
        <v>0.21</v>
      </c>
      <c r="Y102" s="43">
        <v>0.19</v>
      </c>
      <c r="Z102" s="43">
        <v>0.19</v>
      </c>
      <c r="AA102" s="43">
        <v>0.19</v>
      </c>
      <c r="AB102" s="43">
        <v>0.17</v>
      </c>
      <c r="AC102" s="43">
        <v>0.19</v>
      </c>
      <c r="AD102" s="43"/>
      <c r="AE102" s="43">
        <v>0.2</v>
      </c>
      <c r="AF102" s="43">
        <v>0.18</v>
      </c>
      <c r="AG102" s="43">
        <v>0.17</v>
      </c>
      <c r="AH102" s="43">
        <v>0.2</v>
      </c>
      <c r="AI102" s="43">
        <v>0.2</v>
      </c>
      <c r="AJ102" s="43">
        <v>0.1933</v>
      </c>
      <c r="AK102" s="43"/>
      <c r="AL102" s="43">
        <v>0.19</v>
      </c>
      <c r="AM102" s="43">
        <v>0.18</v>
      </c>
      <c r="AN102" s="43">
        <v>0.2</v>
      </c>
      <c r="AO102" s="43">
        <v>0.18</v>
      </c>
      <c r="AP102" s="43">
        <v>0.2</v>
      </c>
      <c r="AQ102" s="43">
        <v>0.19</v>
      </c>
      <c r="AR102" s="43"/>
      <c r="AS102" s="43">
        <v>0.12</v>
      </c>
      <c r="AT102" s="43">
        <v>0.11</v>
      </c>
      <c r="AU102" s="43">
        <v>0.13</v>
      </c>
      <c r="AV102" s="43">
        <v>0.12</v>
      </c>
      <c r="AW102" s="43">
        <v>0.12</v>
      </c>
      <c r="AX102" s="43">
        <v>0.12</v>
      </c>
    </row>
    <row r="103" spans="1:50">
      <c r="A103" s="43">
        <v>39746</v>
      </c>
      <c r="B103" s="43" t="s">
        <v>120</v>
      </c>
      <c r="C103" s="43">
        <v>0.12</v>
      </c>
      <c r="D103" s="43">
        <v>0.16</v>
      </c>
      <c r="E103" s="43">
        <v>0.14000000000000001</v>
      </c>
      <c r="F103" s="43">
        <v>0.11</v>
      </c>
      <c r="G103" s="43">
        <v>0.11</v>
      </c>
      <c r="H103" s="43">
        <v>0.12330000000000001</v>
      </c>
      <c r="I103" s="43"/>
      <c r="J103" s="43">
        <v>0.18</v>
      </c>
      <c r="K103" s="43">
        <v>0.13</v>
      </c>
      <c r="L103" s="43">
        <v>0.19</v>
      </c>
      <c r="M103" s="43">
        <v>0.16</v>
      </c>
      <c r="N103" s="43">
        <v>0.15</v>
      </c>
      <c r="O103" s="43">
        <v>0.1633</v>
      </c>
      <c r="P103" s="43"/>
      <c r="Q103" s="43">
        <v>0.14000000000000001</v>
      </c>
      <c r="R103" s="43">
        <v>0.13</v>
      </c>
      <c r="S103" s="43">
        <v>0.17</v>
      </c>
      <c r="T103" s="43">
        <v>0.15</v>
      </c>
      <c r="U103" s="43">
        <v>0.12</v>
      </c>
      <c r="V103" s="43">
        <v>0.14000000000000001</v>
      </c>
      <c r="W103" s="43"/>
      <c r="X103" s="43">
        <v>0.21</v>
      </c>
      <c r="Y103" s="43">
        <v>0.19</v>
      </c>
      <c r="Z103" s="43">
        <v>0.19</v>
      </c>
      <c r="AA103" s="43">
        <v>0.19</v>
      </c>
      <c r="AB103" s="43">
        <v>0.17</v>
      </c>
      <c r="AC103" s="43">
        <v>0.19</v>
      </c>
      <c r="AD103" s="43"/>
      <c r="AE103" s="43">
        <v>0.2</v>
      </c>
      <c r="AF103" s="43">
        <v>0.18</v>
      </c>
      <c r="AG103" s="43">
        <v>0.17</v>
      </c>
      <c r="AH103" s="43">
        <v>0.2</v>
      </c>
      <c r="AI103" s="43">
        <v>0.2</v>
      </c>
      <c r="AJ103" s="43">
        <v>0.1933</v>
      </c>
      <c r="AK103" s="43"/>
      <c r="AL103" s="43">
        <v>0.19</v>
      </c>
      <c r="AM103" s="43">
        <v>0.18</v>
      </c>
      <c r="AN103" s="43">
        <v>0.2</v>
      </c>
      <c r="AO103" s="43">
        <v>0.18</v>
      </c>
      <c r="AP103" s="43">
        <v>0.2</v>
      </c>
      <c r="AQ103" s="43">
        <v>0.19</v>
      </c>
      <c r="AR103" s="43"/>
      <c r="AS103" s="43">
        <v>0.12</v>
      </c>
      <c r="AT103" s="43">
        <v>0.11</v>
      </c>
      <c r="AU103" s="43">
        <v>0.13</v>
      </c>
      <c r="AV103" s="43">
        <v>0.12</v>
      </c>
      <c r="AW103" s="43">
        <v>0.12</v>
      </c>
      <c r="AX103" s="43">
        <v>0.12</v>
      </c>
    </row>
    <row r="104" spans="1:50">
      <c r="A104" s="43">
        <v>39769</v>
      </c>
      <c r="B104" s="43" t="s">
        <v>174</v>
      </c>
      <c r="C104" s="43">
        <v>0.04</v>
      </c>
      <c r="D104" s="43">
        <v>0.03</v>
      </c>
      <c r="E104" s="43">
        <v>0.04</v>
      </c>
      <c r="F104" s="43">
        <v>0.02</v>
      </c>
      <c r="G104" s="43">
        <v>0.03</v>
      </c>
      <c r="H104" s="43">
        <v>3.3300000000000003E-2</v>
      </c>
      <c r="I104" s="43"/>
      <c r="J104" s="43">
        <v>0.03</v>
      </c>
      <c r="K104" s="43">
        <v>0.04</v>
      </c>
      <c r="L104" s="43">
        <v>0.05</v>
      </c>
      <c r="M104" s="43">
        <v>0.03</v>
      </c>
      <c r="N104" s="43">
        <v>0.03</v>
      </c>
      <c r="O104" s="43">
        <v>3.3300000000000003E-2</v>
      </c>
      <c r="P104" s="43"/>
      <c r="Q104" s="43">
        <v>0.03</v>
      </c>
      <c r="R104" s="43">
        <v>0.06</v>
      </c>
      <c r="S104" s="43">
        <v>0.06</v>
      </c>
      <c r="T104" s="43">
        <v>0.03</v>
      </c>
      <c r="U104" s="43">
        <v>0.03</v>
      </c>
      <c r="V104" s="43">
        <v>0.04</v>
      </c>
      <c r="W104" s="43"/>
      <c r="X104" s="43">
        <v>0.05</v>
      </c>
      <c r="Y104" s="43">
        <v>0.05</v>
      </c>
      <c r="Z104" s="43">
        <v>0.06</v>
      </c>
      <c r="AA104" s="43">
        <v>0.05</v>
      </c>
      <c r="AB104" s="43">
        <v>0.04</v>
      </c>
      <c r="AC104" s="43">
        <v>0.05</v>
      </c>
      <c r="AD104" s="43"/>
      <c r="AE104" s="43">
        <v>0.05</v>
      </c>
      <c r="AF104" s="43">
        <v>0.04</v>
      </c>
      <c r="AG104" s="43">
        <v>0.06</v>
      </c>
      <c r="AH104" s="43">
        <v>0.06</v>
      </c>
      <c r="AI104" s="43">
        <v>0.04</v>
      </c>
      <c r="AJ104" s="43">
        <v>0.05</v>
      </c>
      <c r="AK104" s="43"/>
      <c r="AL104" s="43">
        <v>0.03</v>
      </c>
      <c r="AM104" s="43">
        <v>0.04</v>
      </c>
      <c r="AN104" s="43">
        <v>0.04</v>
      </c>
      <c r="AO104" s="43">
        <v>0.04</v>
      </c>
      <c r="AP104" s="43">
        <v>0.03</v>
      </c>
      <c r="AQ104" s="43">
        <v>3.6700000000000003E-2</v>
      </c>
      <c r="AR104" s="43"/>
      <c r="AS104" s="43">
        <v>0.02</v>
      </c>
      <c r="AT104" s="43">
        <v>0.03</v>
      </c>
      <c r="AU104" s="43">
        <v>0.03</v>
      </c>
      <c r="AV104" s="43">
        <v>0.02</v>
      </c>
      <c r="AW104" s="43">
        <v>0.02</v>
      </c>
      <c r="AX104" s="43">
        <v>2.3300000000000001E-2</v>
      </c>
    </row>
    <row r="105" spans="1:50">
      <c r="A105" s="43">
        <v>40303</v>
      </c>
      <c r="B105" s="43" t="s">
        <v>53</v>
      </c>
      <c r="C105" s="43">
        <v>0.37</v>
      </c>
      <c r="D105" s="43">
        <v>0.33</v>
      </c>
      <c r="E105" s="43">
        <v>0.42</v>
      </c>
      <c r="F105" s="43">
        <v>0.27</v>
      </c>
      <c r="G105" s="43">
        <v>0.36</v>
      </c>
      <c r="H105" s="43">
        <v>0.3533</v>
      </c>
      <c r="I105" s="43"/>
      <c r="J105" s="43">
        <v>0.41</v>
      </c>
      <c r="K105" s="43">
        <v>0.41</v>
      </c>
      <c r="L105" s="43">
        <v>0.37</v>
      </c>
      <c r="M105" s="43">
        <v>0.46</v>
      </c>
      <c r="N105" s="43">
        <v>0.3</v>
      </c>
      <c r="O105" s="43">
        <v>0.3967</v>
      </c>
      <c r="P105" s="43"/>
      <c r="Q105" s="43">
        <v>0.38</v>
      </c>
      <c r="R105" s="43">
        <v>0.5</v>
      </c>
      <c r="S105" s="43">
        <v>0.35</v>
      </c>
      <c r="T105" s="43">
        <v>0.52</v>
      </c>
      <c r="U105" s="43">
        <v>0.35</v>
      </c>
      <c r="V105" s="43">
        <v>0.41</v>
      </c>
      <c r="W105" s="43"/>
      <c r="X105" s="43">
        <v>0.49</v>
      </c>
      <c r="Y105" s="43">
        <v>0.44</v>
      </c>
      <c r="Z105" s="43">
        <v>0.5</v>
      </c>
      <c r="AA105" s="43">
        <v>0.57999999999999996</v>
      </c>
      <c r="AB105" s="43">
        <v>0.44</v>
      </c>
      <c r="AC105" s="43">
        <v>0.47670000000000001</v>
      </c>
      <c r="AD105" s="43"/>
      <c r="AE105" s="43">
        <v>0.44</v>
      </c>
      <c r="AF105" s="43">
        <v>0.49</v>
      </c>
      <c r="AG105" s="43">
        <v>0.44</v>
      </c>
      <c r="AH105" s="43">
        <v>0.43</v>
      </c>
      <c r="AI105" s="43">
        <v>0.54</v>
      </c>
      <c r="AJ105" s="43">
        <v>0.45669999999999999</v>
      </c>
      <c r="AK105" s="43"/>
      <c r="AL105" s="43">
        <v>0.5</v>
      </c>
      <c r="AM105" s="43">
        <v>0.45</v>
      </c>
      <c r="AN105" s="43">
        <v>0.66</v>
      </c>
      <c r="AO105" s="43">
        <v>0.45</v>
      </c>
      <c r="AP105" s="43">
        <v>0.39</v>
      </c>
      <c r="AQ105" s="43">
        <v>0.4667</v>
      </c>
      <c r="AR105" s="43"/>
      <c r="AS105" s="43">
        <v>0.38</v>
      </c>
      <c r="AT105" s="43">
        <v>0.33</v>
      </c>
      <c r="AU105" s="43">
        <v>0.39</v>
      </c>
      <c r="AV105" s="43">
        <v>0.28999999999999998</v>
      </c>
      <c r="AW105" s="43">
        <v>0.3</v>
      </c>
      <c r="AX105" s="43">
        <v>0.3367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48F9-A0AB-4FDA-8915-AABC216B7848}">
  <dimension ref="A1:AA104"/>
  <sheetViews>
    <sheetView topLeftCell="A3" zoomScale="70" zoomScaleNormal="70" workbookViewId="0">
      <selection activeCell="Q19" sqref="Q19"/>
    </sheetView>
  </sheetViews>
  <sheetFormatPr defaultRowHeight="15"/>
  <cols>
    <col min="1" max="4" width="8.7109375" style="2"/>
    <col min="10" max="10" width="9.140625" customWidth="1"/>
    <col min="11" max="11" width="8" bestFit="1" customWidth="1"/>
    <col min="12" max="12" width="7.140625" bestFit="1" customWidth="1"/>
    <col min="13" max="18" width="6.85546875" bestFit="1" customWidth="1"/>
    <col min="20" max="20" width="34.140625" bestFit="1" customWidth="1"/>
  </cols>
  <sheetData>
    <row r="1" spans="2:27" ht="14.45" customHeight="1"/>
    <row r="2" spans="2:27" ht="14.45" customHeight="1"/>
    <row r="4" spans="2:27" ht="15.75" customHeight="1">
      <c r="B4" s="46"/>
      <c r="C4" s="46"/>
      <c r="D4" s="46"/>
      <c r="E4" s="46"/>
      <c r="F4" s="46"/>
      <c r="G4" s="46"/>
      <c r="H4" s="46"/>
      <c r="I4" s="46"/>
      <c r="J4" s="3"/>
      <c r="K4" s="47"/>
    </row>
    <row r="5" spans="2:27">
      <c r="B5" s="122">
        <f>SUM(C35:I36)</f>
        <v>47933.808000000005</v>
      </c>
      <c r="C5" s="124" t="s">
        <v>195</v>
      </c>
      <c r="D5" s="124"/>
      <c r="E5" s="124"/>
      <c r="F5" s="124"/>
      <c r="G5" s="124"/>
      <c r="H5" s="124"/>
      <c r="I5" s="125"/>
      <c r="J5" s="4"/>
      <c r="K5" s="130" t="s">
        <v>196</v>
      </c>
      <c r="L5" s="130"/>
      <c r="M5" s="130"/>
      <c r="N5" s="130"/>
      <c r="O5" s="130"/>
      <c r="P5" s="130"/>
      <c r="Q5" s="130"/>
      <c r="R5" s="130"/>
      <c r="T5" s="120" t="s">
        <v>197</v>
      </c>
      <c r="U5" s="120"/>
      <c r="V5" s="120"/>
      <c r="W5" s="120"/>
      <c r="X5" s="120"/>
      <c r="Y5" s="120"/>
      <c r="Z5" s="120"/>
      <c r="AA5" s="120"/>
    </row>
    <row r="6" spans="2:27" ht="15" customHeight="1">
      <c r="B6" s="123"/>
      <c r="C6" s="48" t="s">
        <v>181</v>
      </c>
      <c r="D6" s="49" t="s">
        <v>183</v>
      </c>
      <c r="E6" s="50" t="s">
        <v>185</v>
      </c>
      <c r="F6" s="51" t="s">
        <v>187</v>
      </c>
      <c r="G6" s="52" t="s">
        <v>189</v>
      </c>
      <c r="H6" s="53" t="s">
        <v>191</v>
      </c>
      <c r="I6" s="54" t="s">
        <v>193</v>
      </c>
      <c r="J6" s="4"/>
      <c r="K6" s="55" t="s">
        <v>198</v>
      </c>
      <c r="L6" s="55" t="s">
        <v>199</v>
      </c>
      <c r="M6" s="55" t="s">
        <v>200</v>
      </c>
      <c r="N6" s="55" t="s">
        <v>201</v>
      </c>
      <c r="O6" s="55" t="s">
        <v>202</v>
      </c>
      <c r="P6" s="55" t="s">
        <v>203</v>
      </c>
      <c r="Q6" s="55" t="s">
        <v>204</v>
      </c>
      <c r="R6" s="55" t="s">
        <v>205</v>
      </c>
      <c r="T6" s="55" t="s">
        <v>21</v>
      </c>
      <c r="U6" s="55" t="s">
        <v>199</v>
      </c>
      <c r="V6" s="55" t="s">
        <v>200</v>
      </c>
      <c r="W6" s="55" t="s">
        <v>201</v>
      </c>
      <c r="X6" s="55" t="s">
        <v>202</v>
      </c>
      <c r="Y6" s="55" t="s">
        <v>203</v>
      </c>
      <c r="Z6" s="55" t="s">
        <v>204</v>
      </c>
      <c r="AA6" s="55" t="s">
        <v>205</v>
      </c>
    </row>
    <row r="7" spans="2:27" ht="15.75" customHeight="1">
      <c r="B7" s="5" t="s">
        <v>206</v>
      </c>
      <c r="C7" s="8">
        <f t="shared" ref="C7:I7" si="0">SUM(C8:C12)</f>
        <v>1679.3639999999998</v>
      </c>
      <c r="D7" s="9">
        <f>SUM(D8:D12)</f>
        <v>1748.87</v>
      </c>
      <c r="E7" s="9">
        <f t="shared" si="0"/>
        <v>1901.356</v>
      </c>
      <c r="F7" s="9">
        <f t="shared" si="0"/>
        <v>1756.914</v>
      </c>
      <c r="G7" s="9">
        <f t="shared" si="0"/>
        <v>1935.9280000000001</v>
      </c>
      <c r="H7" s="9">
        <f t="shared" si="0"/>
        <v>2458.9899999999998</v>
      </c>
      <c r="I7" s="10">
        <f t="shared" si="0"/>
        <v>2645.6360000000004</v>
      </c>
      <c r="J7" s="4"/>
      <c r="K7" s="56" t="str">
        <f t="shared" ref="K7:K24" si="1">B7</f>
        <v>LUNCH</v>
      </c>
      <c r="L7" s="57">
        <f t="shared" ref="L7:L24" si="2">IFERROR(C7/C$24,0)</f>
        <v>0.37042337339097064</v>
      </c>
      <c r="M7" s="57">
        <f t="shared" ref="M7:M24" si="3">IFERROR(D7/D$24,0)</f>
        <v>0.37665025564155907</v>
      </c>
      <c r="N7" s="57">
        <f t="shared" ref="N7:N24" si="4">IFERROR(E7/E$24,0)</f>
        <v>0.36077547079878691</v>
      </c>
      <c r="O7" s="57">
        <f t="shared" ref="O7:O24" si="5">IFERROR(F7/F$24,0)</f>
        <v>0.32447164123093242</v>
      </c>
      <c r="P7" s="57">
        <f t="shared" ref="P7:P24" si="6">IFERROR(G7/G$24,0)</f>
        <v>0.27397962851735846</v>
      </c>
      <c r="Q7" s="57">
        <f t="shared" ref="Q7:Q24" si="7">IFERROR(H7/H$24,0)</f>
        <v>0.34744884752203947</v>
      </c>
      <c r="R7" s="57">
        <f t="shared" ref="R7:R24" si="8">IFERROR(I7/I$24,0)</f>
        <v>0.42023438517572542</v>
      </c>
      <c r="T7" t="s">
        <v>207</v>
      </c>
      <c r="U7" s="11" cm="1">
        <f t="array" ref="U7">AVERAGE(INDEX('ISE Average'!$C$5:$G$105,MATCH(TRIM($T7),INDEX(TRIM('ISE Average'!$B$5:$B$105),0),0),0))</f>
        <v>1.3140000000000001</v>
      </c>
      <c r="V7" s="11" cm="1">
        <f t="array" ref="V7">AVERAGE(INDEX('ISE Average'!$J$5:$N$105,MATCH(TRIM($T7),INDEX(TRIM('ISE Average'!$B$5:$B$105),0),0),0))</f>
        <v>1.4280000000000002</v>
      </c>
      <c r="W7" s="11" cm="1">
        <f t="array" ref="W7">AVERAGE(INDEX('ISE Average'!$Q$5:$U$105,MATCH(TRIM($T7),INDEX(TRIM('ISE Average'!$B$5:$B$105),0),0),0))</f>
        <v>1.4599999999999997</v>
      </c>
      <c r="X7" s="11" cm="1">
        <f t="array" ref="X7">AVERAGE(INDEX('ISE Average'!$X$5:$AB$105,MATCH(TRIM($T7),INDEX(TRIM('ISE Average'!$B$5:$B$105),0),0),0))</f>
        <v>1.9039999999999999</v>
      </c>
      <c r="Y7" s="11" cm="1">
        <f t="array" ref="Y7">AVERAGE(INDEX('ISE Average'!$AE$5:$AI$105,MATCH(TRIM($T7),INDEX(TRIM('ISE Average'!$B$5:$B$105),0),0),0))</f>
        <v>1.948</v>
      </c>
      <c r="Z7" s="11" cm="1">
        <f t="array" ref="Z7">AVERAGE(INDEX('ISE Average'!$AL$5:$AQ$105,MATCH(TRIM($T7),INDEX(TRIM('ISE Average'!$B$5:$B$105),0),0),0))</f>
        <v>1.7116666666666667</v>
      </c>
      <c r="AA7" s="11" cm="1">
        <f t="array" ref="AA7">AVERAGE(INDEX('ISE Average'!$AS$5:$AW$105,MATCH(TRIM($T7),INDEX(TRIM('ISE Average'!$B$5:$B$105),0),0),0))</f>
        <v>1.2100000000000002</v>
      </c>
    </row>
    <row r="8" spans="2:27">
      <c r="B8" s="58">
        <v>0.41666666666666669</v>
      </c>
      <c r="C8" s="59">
        <f>AVERAGE(Sales!B17:F17)</f>
        <v>106.952</v>
      </c>
      <c r="D8" s="59">
        <f>AVERAGE(Sales!H17:L17)</f>
        <v>127.83799999999999</v>
      </c>
      <c r="E8" s="59">
        <f>AVERAGE(Sales!N17:R17)</f>
        <v>144.85599999999999</v>
      </c>
      <c r="F8" s="59">
        <f>AVERAGE(Sales!T17:X17)</f>
        <v>152.886</v>
      </c>
      <c r="G8" s="59">
        <f>AVERAGE(Sales!Z17:AD17)</f>
        <v>105.056</v>
      </c>
      <c r="H8" s="59">
        <f>AVERAGE(Sales!AF17:AJ17)</f>
        <v>157.87200000000001</v>
      </c>
      <c r="I8" s="59">
        <f>AVERAGE(Sales!AL17:AP17)</f>
        <v>240.57799999999997</v>
      </c>
      <c r="J8" s="4" t="s">
        <v>208</v>
      </c>
      <c r="K8" s="56">
        <f t="shared" si="1"/>
        <v>0.41666666666666669</v>
      </c>
      <c r="L8" s="57">
        <f t="shared" si="2"/>
        <v>2.3590788316833693E-2</v>
      </c>
      <c r="M8" s="57">
        <f t="shared" si="3"/>
        <v>2.7532186715253634E-2</v>
      </c>
      <c r="N8" s="57">
        <f t="shared" si="4"/>
        <v>2.7485905636834486E-2</v>
      </c>
      <c r="O8" s="57">
        <f t="shared" si="5"/>
        <v>2.8235401016345897E-2</v>
      </c>
      <c r="P8" s="57">
        <f t="shared" si="6"/>
        <v>1.4867910301168023E-2</v>
      </c>
      <c r="Q8" s="57">
        <f t="shared" si="7"/>
        <v>2.2306900172834956E-2</v>
      </c>
      <c r="R8" s="57">
        <f t="shared" si="8"/>
        <v>3.821355164384127E-2</v>
      </c>
      <c r="T8" t="s">
        <v>125</v>
      </c>
      <c r="U8" s="11" cm="1">
        <f t="array" ref="U8">AVERAGE(INDEX('ISE Average'!$C$5:$G$105,MATCH(TRIM($T8),INDEX(TRIM('ISE Average'!$B$5:$B$105),0),0),0))</f>
        <v>1.232</v>
      </c>
      <c r="V8" s="11" cm="1">
        <f t="array" ref="V8">AVERAGE(INDEX('ISE Average'!$J$5:$N$105,MATCH(TRIM($T8),INDEX(TRIM('ISE Average'!$B$5:$B$105),0),0),0))</f>
        <v>1.48</v>
      </c>
      <c r="W8" s="11" cm="1">
        <f t="array" ref="W8">AVERAGE(INDEX('ISE Average'!$Q$5:$U$105,MATCH(TRIM($T8),INDEX(TRIM('ISE Average'!$B$5:$B$105),0),0),0))</f>
        <v>1.56</v>
      </c>
      <c r="X8" s="11" cm="1">
        <f t="array" ref="X8">AVERAGE(INDEX('ISE Average'!$X$5:$AB$105,MATCH(TRIM($T8),INDEX(TRIM('ISE Average'!$B$5:$B$105),0),0),0))</f>
        <v>2.1919999999999997</v>
      </c>
      <c r="Y8" s="11" cm="1">
        <f t="array" ref="Y8">AVERAGE(INDEX('ISE Average'!$AE$5:$AI$105,MATCH(TRIM($T8),INDEX(TRIM('ISE Average'!$B$5:$B$105),0),0),0))</f>
        <v>2.1520000000000001</v>
      </c>
      <c r="Z8" s="11" cm="1">
        <f t="array" ref="Z8">AVERAGE(INDEX('ISE Average'!$AL$5:$AQ$105,MATCH(TRIM($T8),INDEX(TRIM('ISE Average'!$B$5:$B$105),0),0),0))</f>
        <v>1.9666666666666666</v>
      </c>
      <c r="AA8" s="11" cm="1">
        <f t="array" ref="AA8">AVERAGE(INDEX('ISE Average'!$AS$5:$AW$105,MATCH(TRIM($T8),INDEX(TRIM('ISE Average'!$B$5:$B$105),0),0),0))</f>
        <v>1.2799999999999998</v>
      </c>
    </row>
    <row r="9" spans="2:27">
      <c r="B9" s="60">
        <v>0.45833333333333298</v>
      </c>
      <c r="C9" s="59">
        <f>AVERAGE(Sales!B18:F18)</f>
        <v>266.59800000000001</v>
      </c>
      <c r="D9" s="59">
        <f>AVERAGE(Sales!H18:L18)</f>
        <v>327.322</v>
      </c>
      <c r="E9" s="59">
        <f>AVERAGE(Sales!N18:R18)</f>
        <v>355.57</v>
      </c>
      <c r="F9" s="59">
        <f>AVERAGE(Sales!T18:X18)</f>
        <v>255.46800000000002</v>
      </c>
      <c r="G9" s="59">
        <f>AVERAGE(Sales!Z18:AD18)</f>
        <v>288.53000000000003</v>
      </c>
      <c r="H9" s="59">
        <f>AVERAGE(Sales!AF18:AJ18)</f>
        <v>374.69600000000003</v>
      </c>
      <c r="I9" s="59">
        <f>AVERAGE(Sales!AL18:AP18)</f>
        <v>379.85199999999998</v>
      </c>
      <c r="J9" s="4" t="s">
        <v>209</v>
      </c>
      <c r="K9" s="56">
        <f t="shared" si="1"/>
        <v>0.45833333333333298</v>
      </c>
      <c r="L9" s="57">
        <f t="shared" si="2"/>
        <v>5.880448223213431E-2</v>
      </c>
      <c r="M9" s="57">
        <f t="shared" si="3"/>
        <v>7.0494613651733068E-2</v>
      </c>
      <c r="N9" s="57">
        <f t="shared" si="4"/>
        <v>6.7468130193359191E-2</v>
      </c>
      <c r="O9" s="57">
        <f t="shared" si="5"/>
        <v>4.7180522918016395E-2</v>
      </c>
      <c r="P9" s="57">
        <f t="shared" si="6"/>
        <v>4.0833823476964765E-2</v>
      </c>
      <c r="Q9" s="57">
        <f t="shared" si="7"/>
        <v>5.2943563565170305E-2</v>
      </c>
      <c r="R9" s="57">
        <f t="shared" si="8"/>
        <v>6.0335916081339085E-2</v>
      </c>
      <c r="T9" t="s">
        <v>45</v>
      </c>
      <c r="U9" s="11" cm="1">
        <f t="array" ref="U9">AVERAGE(INDEX('ISE Average'!$C$5:$G$105,MATCH(TRIM($T9),INDEX(TRIM('ISE Average'!$B$5:$B$105),0),0),0))</f>
        <v>0.49800000000000005</v>
      </c>
      <c r="V9" s="11" cm="1">
        <f t="array" ref="V9">AVERAGE(INDEX('ISE Average'!$J$5:$N$105,MATCH(TRIM($T9),INDEX(TRIM('ISE Average'!$B$5:$B$105),0),0),0))</f>
        <v>0.57600000000000007</v>
      </c>
      <c r="W9" s="11" cm="1">
        <f t="array" ref="W9">AVERAGE(INDEX('ISE Average'!$Q$5:$U$105,MATCH(TRIM($T9),INDEX(TRIM('ISE Average'!$B$5:$B$105),0),0),0))</f>
        <v>0.53200000000000003</v>
      </c>
      <c r="X9" s="11" cm="1">
        <f t="array" ref="X9">AVERAGE(INDEX('ISE Average'!$X$5:$AB$105,MATCH(TRIM($T9),INDEX(TRIM('ISE Average'!$B$5:$B$105),0),0),0))</f>
        <v>0.80399999999999994</v>
      </c>
      <c r="Y9" s="11" cm="1">
        <f t="array" ref="Y9">AVERAGE(INDEX('ISE Average'!$AE$5:$AI$105,MATCH(TRIM($T9),INDEX(TRIM('ISE Average'!$B$5:$B$105),0),0),0))</f>
        <v>0.752</v>
      </c>
      <c r="Z9" s="11" cm="1">
        <f t="array" ref="Z9">AVERAGE(INDEX('ISE Average'!$AL$5:$AQ$105,MATCH(TRIM($T9),INDEX(TRIM('ISE Average'!$B$5:$B$105),0),0),0))</f>
        <v>0.62111666666666665</v>
      </c>
      <c r="AA9" s="11" cm="1">
        <f t="array" ref="AA9">AVERAGE(INDEX('ISE Average'!$AS$5:$AW$105,MATCH(TRIM($T9),INDEX(TRIM('ISE Average'!$B$5:$B$105),0),0),0))</f>
        <v>0.53800000000000003</v>
      </c>
    </row>
    <row r="10" spans="2:27">
      <c r="B10" s="61">
        <v>0.5</v>
      </c>
      <c r="C10" s="59">
        <f>AVERAGE(Sales!B19:F19)</f>
        <v>465.76800000000003</v>
      </c>
      <c r="D10" s="59">
        <f>AVERAGE(Sales!H19:L19)</f>
        <v>486.81000000000006</v>
      </c>
      <c r="E10" s="59">
        <f>AVERAGE(Sales!N19:R19)</f>
        <v>603.452</v>
      </c>
      <c r="F10" s="59">
        <f>AVERAGE(Sales!T19:X19)</f>
        <v>560.95399999999995</v>
      </c>
      <c r="G10" s="59">
        <f>AVERAGE(Sales!Z19:AD19)</f>
        <v>653.26</v>
      </c>
      <c r="H10" s="59">
        <f>AVERAGE(Sales!AF19:AJ19)</f>
        <v>580.08999999999992</v>
      </c>
      <c r="I10" s="59">
        <f>AVERAGE(Sales!AL19:AP19)</f>
        <v>682.18600000000004</v>
      </c>
      <c r="J10" s="4" t="s">
        <v>210</v>
      </c>
      <c r="K10" s="56">
        <f t="shared" si="1"/>
        <v>0.5</v>
      </c>
      <c r="L10" s="57">
        <f t="shared" si="2"/>
        <v>0.10273612735390639</v>
      </c>
      <c r="M10" s="57">
        <f t="shared" si="3"/>
        <v>0.10484319071678706</v>
      </c>
      <c r="N10" s="57">
        <f t="shared" si="4"/>
        <v>0.11450284923205836</v>
      </c>
      <c r="O10" s="57">
        <f t="shared" si="5"/>
        <v>0.10359850569524545</v>
      </c>
      <c r="P10" s="57">
        <f t="shared" si="6"/>
        <v>9.2451750336401753E-2</v>
      </c>
      <c r="Q10" s="57">
        <f t="shared" si="7"/>
        <v>8.1965197889808369E-2</v>
      </c>
      <c r="R10" s="57">
        <f t="shared" si="8"/>
        <v>0.10835882724815031</v>
      </c>
      <c r="T10" t="s">
        <v>146</v>
      </c>
      <c r="U10" s="11" cm="1">
        <f t="array" ref="U10">AVERAGE(INDEX('ISE Average'!$C$5:$G$105,MATCH(TRIM($T10),INDEX(TRIM('ISE Average'!$B$5:$B$105),0),0),0))</f>
        <v>0.81799999999999995</v>
      </c>
      <c r="V10" s="11" cm="1">
        <f t="array" ref="V10">AVERAGE(INDEX('ISE Average'!$J$5:$N$105,MATCH(TRIM($T10),INDEX(TRIM('ISE Average'!$B$5:$B$105),0),0),0))</f>
        <v>0.94800000000000006</v>
      </c>
      <c r="W10" s="11" cm="1">
        <f t="array" ref="W10">AVERAGE(INDEX('ISE Average'!$Q$5:$U$105,MATCH(TRIM($T10),INDEX(TRIM('ISE Average'!$B$5:$B$105),0),0),0))</f>
        <v>0.95</v>
      </c>
      <c r="X10" s="11" cm="1">
        <f t="array" ref="X10">AVERAGE(INDEX('ISE Average'!$X$5:$AB$105,MATCH(TRIM($T10),INDEX(TRIM('ISE Average'!$B$5:$B$105),0),0),0))</f>
        <v>1.25</v>
      </c>
      <c r="Y10" s="11" cm="1">
        <f t="array" ref="Y10">AVERAGE(INDEX('ISE Average'!$AE$5:$AI$105,MATCH(TRIM($T10),INDEX(TRIM('ISE Average'!$B$5:$B$105),0),0),0))</f>
        <v>1.1859999999999999</v>
      </c>
      <c r="Z10" s="11" cm="1">
        <f t="array" ref="Z10">AVERAGE(INDEX('ISE Average'!$AL$5:$AQ$105,MATCH(TRIM($T10),INDEX(TRIM('ISE Average'!$B$5:$B$105),0),0),0))</f>
        <v>1.1411166666666668</v>
      </c>
      <c r="AA10" s="11" cm="1">
        <f t="array" ref="AA10">AVERAGE(INDEX('ISE Average'!$AS$5:$AW$105,MATCH(TRIM($T10),INDEX(TRIM('ISE Average'!$B$5:$B$105),0),0),0))</f>
        <v>0.78200000000000003</v>
      </c>
    </row>
    <row r="11" spans="2:27">
      <c r="B11" s="60">
        <v>0.54166666666666696</v>
      </c>
      <c r="C11" s="59">
        <f>AVERAGE(Sales!B20:F20)</f>
        <v>500.51399999999995</v>
      </c>
      <c r="D11" s="59">
        <f>AVERAGE(Sales!H20:L20)</f>
        <v>474.03000000000003</v>
      </c>
      <c r="E11" s="59">
        <f>AVERAGE(Sales!N20:R20)</f>
        <v>474.08599999999996</v>
      </c>
      <c r="F11" s="59">
        <f>AVERAGE(Sales!T20:X20)</f>
        <v>526.81799999999998</v>
      </c>
      <c r="G11" s="59">
        <f>AVERAGE(Sales!Z20:AD20)</f>
        <v>501.21000000000004</v>
      </c>
      <c r="H11" s="59">
        <f>AVERAGE(Sales!AF20:AJ20)</f>
        <v>689.03199999999993</v>
      </c>
      <c r="I11" s="59">
        <f>AVERAGE(Sales!AL20:AP20)</f>
        <v>768.81799999999998</v>
      </c>
      <c r="J11" s="4" t="s">
        <v>211</v>
      </c>
      <c r="K11" s="56">
        <f t="shared" si="1"/>
        <v>0.54166666666666696</v>
      </c>
      <c r="L11" s="57">
        <f t="shared" si="2"/>
        <v>0.11040017787055592</v>
      </c>
      <c r="M11" s="57">
        <f t="shared" si="3"/>
        <v>0.10209079044283924</v>
      </c>
      <c r="N11" s="57">
        <f t="shared" si="4"/>
        <v>8.9956115450822285E-2</v>
      </c>
      <c r="O11" s="57">
        <f t="shared" si="5"/>
        <v>9.7294176658616963E-2</v>
      </c>
      <c r="P11" s="57">
        <f t="shared" si="6"/>
        <v>7.0933076854710106E-2</v>
      </c>
      <c r="Q11" s="57">
        <f t="shared" si="7"/>
        <v>9.7358417198038991E-2</v>
      </c>
      <c r="R11" s="57">
        <f t="shared" si="8"/>
        <v>0.12211950530686413</v>
      </c>
      <c r="T11" t="s">
        <v>160</v>
      </c>
      <c r="U11" s="11" cm="1">
        <f t="array" ref="U11">AVERAGE(INDEX('ISE Average'!$C$5:$G$105,MATCH(TRIM($T11),INDEX(TRIM('ISE Average'!$B$5:$B$105),0),0),0))</f>
        <v>5841.1</v>
      </c>
      <c r="V11" s="11" cm="1">
        <f t="array" ref="V11">AVERAGE(INDEX('ISE Average'!$J$5:$N$105,MATCH(TRIM($T11),INDEX(TRIM('ISE Average'!$B$5:$B$105),0),0),0))</f>
        <v>6235.9</v>
      </c>
      <c r="W11" s="11" cm="1">
        <f t="array" ref="W11">AVERAGE(INDEX('ISE Average'!$Q$5:$U$105,MATCH(TRIM($T11),INDEX(TRIM('ISE Average'!$B$5:$B$105),0),0),0))</f>
        <v>6118.5</v>
      </c>
      <c r="X11" s="11" cm="1">
        <f t="array" ref="X11">AVERAGE(INDEX('ISE Average'!$X$5:$AB$105,MATCH(TRIM($T11),INDEX(TRIM('ISE Average'!$B$5:$B$105),0),0),0))</f>
        <v>8464.6</v>
      </c>
      <c r="Y11" s="11" cm="1">
        <f t="array" ref="Y11">AVERAGE(INDEX('ISE Average'!$AE$5:$AI$105,MATCH(TRIM($T11),INDEX(TRIM('ISE Average'!$B$5:$B$105),0),0),0))</f>
        <v>9060.7999999999993</v>
      </c>
      <c r="Z11" s="11" cm="1">
        <f t="array" ref="Z11">AVERAGE(INDEX('ISE Average'!$AL$5:$AQ$105,MATCH(TRIM($T11),INDEX(TRIM('ISE Average'!$B$5:$B$105),0),0),0))</f>
        <v>6617.7778333333335</v>
      </c>
      <c r="AA11" s="11" cm="1">
        <f t="array" ref="AA11">AVERAGE(INDEX('ISE Average'!$AS$5:$AW$105,MATCH(TRIM($T11),INDEX(TRIM('ISE Average'!$B$5:$B$105),0),0),0))</f>
        <v>5631.9</v>
      </c>
    </row>
    <row r="12" spans="2:27" ht="15.75" customHeight="1">
      <c r="B12" s="62">
        <v>0.58333333333333304</v>
      </c>
      <c r="C12" s="59">
        <f>AVERAGE(Sales!B21:F21)</f>
        <v>339.53199999999998</v>
      </c>
      <c r="D12" s="59">
        <f>AVERAGE(Sales!H21:L21)</f>
        <v>332.87</v>
      </c>
      <c r="E12" s="59">
        <f>AVERAGE(Sales!N21:R21)</f>
        <v>323.392</v>
      </c>
      <c r="F12" s="59">
        <f>AVERAGE(Sales!T21:X21)</f>
        <v>260.78800000000001</v>
      </c>
      <c r="G12" s="59">
        <f>AVERAGE(Sales!Z21:AD21)</f>
        <v>387.87200000000001</v>
      </c>
      <c r="H12" s="59">
        <f>AVERAGE(Sales!AF21:AJ21)</f>
        <v>657.3</v>
      </c>
      <c r="I12" s="59">
        <f>AVERAGE(Sales!AL21:AP21)</f>
        <v>574.202</v>
      </c>
      <c r="J12" s="4" t="s">
        <v>212</v>
      </c>
      <c r="K12" s="56">
        <f t="shared" si="1"/>
        <v>0.58333333333333304</v>
      </c>
      <c r="L12" s="57">
        <f t="shared" si="2"/>
        <v>7.4891797617540362E-2</v>
      </c>
      <c r="M12" s="57">
        <f t="shared" si="3"/>
        <v>7.1689474114946097E-2</v>
      </c>
      <c r="N12" s="57">
        <f t="shared" si="4"/>
        <v>6.136247028571256E-2</v>
      </c>
      <c r="O12" s="57">
        <f t="shared" si="5"/>
        <v>4.8163034942707732E-2</v>
      </c>
      <c r="P12" s="57">
        <f t="shared" si="6"/>
        <v>5.4893067548113801E-2</v>
      </c>
      <c r="Q12" s="57">
        <f t="shared" si="7"/>
        <v>9.2874768696186868E-2</v>
      </c>
      <c r="R12" s="57">
        <f t="shared" si="8"/>
        <v>9.1206584895530546E-2</v>
      </c>
      <c r="U12" s="11" t="str" cm="1">
        <f t="array" ref="U12">IF($T12="","",_xlfn.XLOOKUP(TRIM($T12),ISE!$L:$L,INDEX(ISE!$N:$T,0,COLUMN()-COLUMN($U$1)+1),""))</f>
        <v/>
      </c>
      <c r="V12" s="11" t="str" cm="1">
        <f t="array" ref="V12">IF($T12="","",_xlfn.XLOOKUP(TRIM($T12),ISE!$L:$L,INDEX(ISE!$N:$T,0,COLUMN()-COLUMN($U$1)+1),""))</f>
        <v/>
      </c>
      <c r="W12" s="11" t="str" cm="1">
        <f t="array" ref="W12">IF($T12="","",_xlfn.XLOOKUP(TRIM($T12),ISE!$L:$L,INDEX(ISE!$N:$T,0,COLUMN()-COLUMN($U$1)+1),""))</f>
        <v/>
      </c>
      <c r="X12" s="11" t="str" cm="1">
        <f t="array" ref="X12">IF($T12="","",_xlfn.XLOOKUP(TRIM($T12),ISE!$L:$L,INDEX(ISE!$N:$T,0,COLUMN()-COLUMN($U$1)+1),""))</f>
        <v/>
      </c>
      <c r="Y12" s="11" t="str" cm="1">
        <f t="array" ref="Y12">IF($T12="","",_xlfn.XLOOKUP(TRIM($T12),ISE!$L:$L,INDEX(ISE!$N:$T,0,COLUMN()-COLUMN($U$1)+1),""))</f>
        <v/>
      </c>
      <c r="Z12" s="11" t="str" cm="1">
        <f t="array" ref="Z12">IF($T12="","",_xlfn.XLOOKUP(TRIM($T12),ISE!$L:$L,INDEX(ISE!$N:$T,0,COLUMN()-COLUMN($U$1)+1),""))</f>
        <v/>
      </c>
      <c r="AA12" s="11" t="str" cm="1">
        <f t="array" ref="AA12">IF($T12="","",_xlfn.XLOOKUP(TRIM($T12),ISE!$L:$L,INDEX(ISE!$N:$T,0,COLUMN()-COLUMN($U$1)+1),""))</f>
        <v/>
      </c>
    </row>
    <row r="13" spans="2:27" ht="15.75" customHeight="1">
      <c r="B13" s="6" t="s">
        <v>213</v>
      </c>
      <c r="C13" s="8">
        <f t="shared" ref="C13:I13" si="9">SUM(C14:C20)</f>
        <v>2854.27</v>
      </c>
      <c r="D13" s="9">
        <f t="shared" si="9"/>
        <v>2894.3499999999995</v>
      </c>
      <c r="E13" s="9">
        <f t="shared" si="9"/>
        <v>3368.8359999999998</v>
      </c>
      <c r="F13" s="9">
        <f t="shared" si="9"/>
        <v>3657.7780000000002</v>
      </c>
      <c r="G13" s="9">
        <f t="shared" si="9"/>
        <v>5130.0279999999993</v>
      </c>
      <c r="H13" s="9">
        <f t="shared" si="9"/>
        <v>4618.2819999999992</v>
      </c>
      <c r="I13" s="10">
        <f t="shared" si="9"/>
        <v>3649.9839999999999</v>
      </c>
      <c r="J13" s="4"/>
      <c r="K13" s="56" t="str">
        <f t="shared" si="1"/>
        <v>DINNER</v>
      </c>
      <c r="L13" s="57">
        <f t="shared" si="2"/>
        <v>0.62957662660902936</v>
      </c>
      <c r="M13" s="57">
        <f t="shared" si="3"/>
        <v>0.6233497443584407</v>
      </c>
      <c r="N13" s="57">
        <f t="shared" si="4"/>
        <v>0.6392245292012132</v>
      </c>
      <c r="O13" s="57">
        <f t="shared" si="5"/>
        <v>0.67552835876906758</v>
      </c>
      <c r="P13" s="57">
        <f t="shared" si="6"/>
        <v>0.72602037148264142</v>
      </c>
      <c r="Q13" s="57">
        <f t="shared" si="7"/>
        <v>0.65255115247796025</v>
      </c>
      <c r="R13" s="57">
        <f t="shared" si="8"/>
        <v>0.57976561482427469</v>
      </c>
      <c r="U13" s="11" t="str" cm="1">
        <f t="array" ref="U13">IF($T13="","",_xlfn.XLOOKUP(TRIM($T13),ISE!$L:$L,INDEX(ISE!$N:$T,0,COLUMN()-COLUMN($U$1)+1),""))</f>
        <v/>
      </c>
      <c r="V13" s="11" t="str" cm="1">
        <f t="array" ref="V13">IF($T13="","",_xlfn.XLOOKUP(TRIM($T13),ISE!$L:$L,INDEX(ISE!$N:$T,0,COLUMN()-COLUMN($U$1)+1),""))</f>
        <v/>
      </c>
      <c r="W13" s="11" t="str" cm="1">
        <f t="array" ref="W13">IF($T13="","",_xlfn.XLOOKUP(TRIM($T13),ISE!$L:$L,INDEX(ISE!$N:$T,0,COLUMN()-COLUMN($U$1)+1),""))</f>
        <v/>
      </c>
      <c r="X13" s="11" t="str" cm="1">
        <f t="array" ref="X13">IF($T13="","",_xlfn.XLOOKUP(TRIM($T13),ISE!$L:$L,INDEX(ISE!$N:$T,0,COLUMN()-COLUMN($U$1)+1),""))</f>
        <v/>
      </c>
      <c r="Y13" s="11" t="str" cm="1">
        <f t="array" ref="Y13">IF($T13="","",_xlfn.XLOOKUP(TRIM($T13),ISE!$L:$L,INDEX(ISE!$N:$T,0,COLUMN()-COLUMN($U$1)+1),""))</f>
        <v/>
      </c>
      <c r="Z13" s="11" t="str" cm="1">
        <f t="array" ref="Z13">IF($T13="","",_xlfn.XLOOKUP(TRIM($T13),ISE!$L:$L,INDEX(ISE!$N:$T,0,COLUMN()-COLUMN($U$1)+1),""))</f>
        <v/>
      </c>
      <c r="AA13" s="11" t="str" cm="1">
        <f t="array" ref="AA13">IF($T13="","",_xlfn.XLOOKUP(TRIM($T13),ISE!$L:$L,INDEX(ISE!$N:$T,0,COLUMN()-COLUMN($U$1)+1),""))</f>
        <v/>
      </c>
    </row>
    <row r="14" spans="2:27">
      <c r="B14" s="58">
        <v>0.625</v>
      </c>
      <c r="C14" s="59">
        <f>AVERAGE(Sales!B22:F22)</f>
        <v>292.46600000000001</v>
      </c>
      <c r="D14" s="59">
        <f>AVERAGE(Sales!H22:L22)</f>
        <v>238.39400000000001</v>
      </c>
      <c r="E14" s="59">
        <f>AVERAGE(Sales!N22:R22)</f>
        <v>290.97200000000004</v>
      </c>
      <c r="F14" s="59">
        <f>AVERAGE(Sales!T22:X22)</f>
        <v>327.00799999999998</v>
      </c>
      <c r="G14" s="59">
        <f>AVERAGE(Sales!Z22:AD22)</f>
        <v>325.37</v>
      </c>
      <c r="H14" s="59">
        <f>AVERAGE(Sales!AF22:AJ22)</f>
        <v>512.02599999999995</v>
      </c>
      <c r="I14" s="59">
        <f>AVERAGE(Sales!AL22:AP22)</f>
        <v>442.85600000000005</v>
      </c>
      <c r="J14" s="4" t="s">
        <v>214</v>
      </c>
      <c r="K14" s="56">
        <f t="shared" si="1"/>
        <v>0.625</v>
      </c>
      <c r="L14" s="57">
        <f t="shared" si="2"/>
        <v>6.4510280274058293E-2</v>
      </c>
      <c r="M14" s="57">
        <f t="shared" si="3"/>
        <v>5.1342387394954364E-2</v>
      </c>
      <c r="N14" s="57">
        <f t="shared" si="4"/>
        <v>5.5210891747397454E-2</v>
      </c>
      <c r="O14" s="57">
        <f t="shared" si="5"/>
        <v>6.0392724092155195E-2</v>
      </c>
      <c r="P14" s="57">
        <f t="shared" si="6"/>
        <v>4.6047555348490705E-2</v>
      </c>
      <c r="Q14" s="57">
        <f t="shared" si="7"/>
        <v>7.2347932932350187E-2</v>
      </c>
      <c r="R14" s="57">
        <f t="shared" si="8"/>
        <v>7.0343508661577417E-2</v>
      </c>
      <c r="U14" s="11" t="str" cm="1">
        <f t="array" ref="U14">IF($T14="","",_xlfn.XLOOKUP(TRIM($T14),ISE!$L:$L,INDEX(ISE!$N:$T,0,COLUMN()-COLUMN($U$1)+1),""))</f>
        <v/>
      </c>
      <c r="V14" s="11" t="str" cm="1">
        <f t="array" ref="V14">IF($T14="","",_xlfn.XLOOKUP(TRIM($T14),ISE!$L:$L,INDEX(ISE!$N:$T,0,COLUMN()-COLUMN($U$1)+1),""))</f>
        <v/>
      </c>
      <c r="W14" s="11" t="str" cm="1">
        <f t="array" ref="W14">IF($T14="","",_xlfn.XLOOKUP(TRIM($T14),ISE!$L:$L,INDEX(ISE!$N:$T,0,COLUMN()-COLUMN($U$1)+1),""))</f>
        <v/>
      </c>
      <c r="X14" s="11" t="str" cm="1">
        <f t="array" ref="X14">IF($T14="","",_xlfn.XLOOKUP(TRIM($T14),ISE!$L:$L,INDEX(ISE!$N:$T,0,COLUMN()-COLUMN($U$1)+1),""))</f>
        <v/>
      </c>
      <c r="Y14" s="11" t="str" cm="1">
        <f t="array" ref="Y14">IF($T14="","",_xlfn.XLOOKUP(TRIM($T14),ISE!$L:$L,INDEX(ISE!$N:$T,0,COLUMN()-COLUMN($U$1)+1),""))</f>
        <v/>
      </c>
      <c r="Z14" s="11" t="str" cm="1">
        <f t="array" ref="Z14">IF($T14="","",_xlfn.XLOOKUP(TRIM($T14),ISE!$L:$L,INDEX(ISE!$N:$T,0,COLUMN()-COLUMN($U$1)+1),""))</f>
        <v/>
      </c>
      <c r="AA14" s="11" t="str" cm="1">
        <f t="array" ref="AA14">IF($T14="","",_xlfn.XLOOKUP(TRIM($T14),ISE!$L:$L,INDEX(ISE!$N:$T,0,COLUMN()-COLUMN($U$1)+1),""))</f>
        <v/>
      </c>
    </row>
    <row r="15" spans="2:27">
      <c r="B15" s="60">
        <v>0.66666666666666696</v>
      </c>
      <c r="C15" s="59">
        <f>AVERAGE(Sales!B23:F23)</f>
        <v>284.476</v>
      </c>
      <c r="D15" s="59">
        <f>AVERAGE(Sales!H23:L23)</f>
        <v>314.84399999999994</v>
      </c>
      <c r="E15" s="59">
        <f>AVERAGE(Sales!N23:R23)</f>
        <v>366.85399999999998</v>
      </c>
      <c r="F15" s="59">
        <f>AVERAGE(Sales!T23:X23)</f>
        <v>339.78800000000001</v>
      </c>
      <c r="G15" s="59">
        <f>AVERAGE(Sales!Z23:AD23)</f>
        <v>307.286</v>
      </c>
      <c r="H15" s="59">
        <f>AVERAGE(Sales!AF23:AJ23)</f>
        <v>414.24799999999993</v>
      </c>
      <c r="I15" s="59">
        <f>AVERAGE(Sales!AL23:AP23)</f>
        <v>503.63800000000003</v>
      </c>
      <c r="J15" s="4" t="s">
        <v>215</v>
      </c>
      <c r="K15" s="56">
        <f t="shared" si="1"/>
        <v>0.66666666666666696</v>
      </c>
      <c r="L15" s="57">
        <f t="shared" si="2"/>
        <v>6.2747897161526497E-2</v>
      </c>
      <c r="M15" s="57">
        <f t="shared" si="3"/>
        <v>6.7807254448421547E-2</v>
      </c>
      <c r="N15" s="57">
        <f t="shared" si="4"/>
        <v>6.9609228658083055E-2</v>
      </c>
      <c r="O15" s="57">
        <f t="shared" si="5"/>
        <v>6.2752969143951315E-2</v>
      </c>
      <c r="P15" s="57">
        <f t="shared" si="6"/>
        <v>4.3488241364650446E-2</v>
      </c>
      <c r="Q15" s="57">
        <f t="shared" si="7"/>
        <v>5.8532157588404105E-2</v>
      </c>
      <c r="R15" s="57">
        <f t="shared" si="8"/>
        <v>7.9998157449147192E-2</v>
      </c>
      <c r="T15" s="121" t="s">
        <v>216</v>
      </c>
      <c r="U15" s="121"/>
      <c r="V15" s="121"/>
      <c r="W15" s="121"/>
      <c r="X15" s="121"/>
      <c r="Y15" s="121"/>
      <c r="Z15" s="121"/>
      <c r="AA15" s="121"/>
    </row>
    <row r="16" spans="2:27">
      <c r="B16" s="61">
        <v>0.70833333333333304</v>
      </c>
      <c r="C16" s="59">
        <f>AVERAGE(Sales!B24:F24)</f>
        <v>459.7879999999999</v>
      </c>
      <c r="D16" s="59">
        <f>AVERAGE(Sales!H24:L24)</f>
        <v>489.49800000000005</v>
      </c>
      <c r="E16" s="59">
        <f>AVERAGE(Sales!N24:R24)</f>
        <v>559.68599999999992</v>
      </c>
      <c r="F16" s="59">
        <f>AVERAGE(Sales!T24:X24)</f>
        <v>623.23199999999997</v>
      </c>
      <c r="G16" s="59">
        <f>AVERAGE(Sales!Z24:AD24)</f>
        <v>934.35399999999993</v>
      </c>
      <c r="H16" s="59">
        <f>AVERAGE(Sales!AF24:AJ24)</f>
        <v>929.87400000000002</v>
      </c>
      <c r="I16" s="59">
        <f>AVERAGE(Sales!AL24:AP24)</f>
        <v>712.56799999999998</v>
      </c>
      <c r="J16" s="4" t="s">
        <v>217</v>
      </c>
      <c r="K16" s="56">
        <f t="shared" si="1"/>
        <v>0.70833333333333304</v>
      </c>
      <c r="L16" s="57">
        <f t="shared" si="2"/>
        <v>0.10141709718958343</v>
      </c>
      <c r="M16" s="57">
        <f t="shared" si="3"/>
        <v>0.10542209931900708</v>
      </c>
      <c r="N16" s="57">
        <f t="shared" si="4"/>
        <v>0.10619840795174067</v>
      </c>
      <c r="O16" s="57">
        <f t="shared" si="5"/>
        <v>0.115100175596322</v>
      </c>
      <c r="P16" s="57">
        <f t="shared" si="6"/>
        <v>0.13223320382974363</v>
      </c>
      <c r="Q16" s="57">
        <f t="shared" si="7"/>
        <v>0.13138876109325739</v>
      </c>
      <c r="R16" s="57">
        <f t="shared" si="8"/>
        <v>0.11318472207661835</v>
      </c>
      <c r="T16" s="55" t="s">
        <v>21</v>
      </c>
      <c r="U16" s="55" t="s">
        <v>199</v>
      </c>
      <c r="V16" s="55" t="s">
        <v>200</v>
      </c>
      <c r="W16" s="55" t="s">
        <v>201</v>
      </c>
      <c r="X16" s="55" t="s">
        <v>202</v>
      </c>
      <c r="Y16" s="55" t="s">
        <v>203</v>
      </c>
      <c r="Z16" s="55" t="s">
        <v>204</v>
      </c>
      <c r="AA16" s="55" t="s">
        <v>205</v>
      </c>
    </row>
    <row r="17" spans="2:27">
      <c r="B17" s="60">
        <v>0.75</v>
      </c>
      <c r="C17" s="59">
        <f>AVERAGE(Sales!B25:F25)</f>
        <v>750.37599999999998</v>
      </c>
      <c r="D17" s="59">
        <f>AVERAGE(Sales!H25:L25)</f>
        <v>632.74599999999987</v>
      </c>
      <c r="E17" s="59">
        <f>AVERAGE(Sales!N25:R25)</f>
        <v>851.57799999999986</v>
      </c>
      <c r="F17" s="59">
        <f>AVERAGE(Sales!T25:X25)</f>
        <v>889.66200000000003</v>
      </c>
      <c r="G17" s="59">
        <f>AVERAGE(Sales!Z25:AD25)</f>
        <v>1446.636</v>
      </c>
      <c r="H17" s="59">
        <f>AVERAGE(Sales!AF25:AJ25)</f>
        <v>1044.1759999999999</v>
      </c>
      <c r="I17" s="59">
        <f>AVERAGE(Sales!AL25:AP25)</f>
        <v>853.62200000000007</v>
      </c>
      <c r="J17" s="4" t="s">
        <v>218</v>
      </c>
      <c r="K17" s="56">
        <f t="shared" si="1"/>
        <v>0.75</v>
      </c>
      <c r="L17" s="57">
        <f t="shared" si="2"/>
        <v>0.16551314023143465</v>
      </c>
      <c r="M17" s="57">
        <f t="shared" si="3"/>
        <v>0.13627310357898179</v>
      </c>
      <c r="N17" s="57">
        <f t="shared" si="4"/>
        <v>0.16158386639424144</v>
      </c>
      <c r="O17" s="57">
        <f t="shared" si="5"/>
        <v>0.1643051903967945</v>
      </c>
      <c r="P17" s="57">
        <f t="shared" si="6"/>
        <v>0.20473323071924024</v>
      </c>
      <c r="Q17" s="57">
        <f t="shared" si="7"/>
        <v>0.14753933436499259</v>
      </c>
      <c r="R17" s="57">
        <f t="shared" si="8"/>
        <v>0.13558982276566883</v>
      </c>
      <c r="T17" t="s">
        <v>207</v>
      </c>
      <c r="U17" s="11">
        <f>U7*8</f>
        <v>10.512</v>
      </c>
      <c r="V17" s="11">
        <f t="shared" ref="V17:AA17" si="10">V7*8</f>
        <v>11.424000000000001</v>
      </c>
      <c r="W17" s="11">
        <f t="shared" si="10"/>
        <v>11.679999999999998</v>
      </c>
      <c r="X17" s="11">
        <f t="shared" si="10"/>
        <v>15.231999999999999</v>
      </c>
      <c r="Y17" s="11">
        <f t="shared" si="10"/>
        <v>15.584</v>
      </c>
      <c r="Z17" s="11">
        <f t="shared" si="10"/>
        <v>13.693333333333333</v>
      </c>
      <c r="AA17" s="11">
        <f t="shared" si="10"/>
        <v>9.6800000000000015</v>
      </c>
    </row>
    <row r="18" spans="2:27">
      <c r="B18" s="61">
        <v>0.79166666666666696</v>
      </c>
      <c r="C18" s="59">
        <f>AVERAGE(Sales!B26:F26)</f>
        <v>553.476</v>
      </c>
      <c r="D18" s="59">
        <f>AVERAGE(Sales!H26:L26)</f>
        <v>499.608</v>
      </c>
      <c r="E18" s="59">
        <f>AVERAGE(Sales!N26:R26)</f>
        <v>669.77800000000002</v>
      </c>
      <c r="F18" s="59">
        <f>AVERAGE(Sales!T26:X26)</f>
        <v>685.38199999999995</v>
      </c>
      <c r="G18" s="59">
        <f>AVERAGE(Sales!Z26:AD26)</f>
        <v>1172.28</v>
      </c>
      <c r="H18" s="59">
        <f>AVERAGE(Sales!AF26:AJ26)</f>
        <v>924.06000000000006</v>
      </c>
      <c r="I18" s="59">
        <f>AVERAGE(Sales!AL26:AP26)</f>
        <v>627.40599999999995</v>
      </c>
      <c r="J18" s="4" t="s">
        <v>219</v>
      </c>
      <c r="K18" s="56">
        <f t="shared" si="1"/>
        <v>0.79166666666666696</v>
      </c>
      <c r="L18" s="57">
        <f t="shared" si="2"/>
        <v>0.12208219719545071</v>
      </c>
      <c r="M18" s="57">
        <f t="shared" si="3"/>
        <v>0.10759946761083902</v>
      </c>
      <c r="N18" s="57">
        <f t="shared" si="4"/>
        <v>0.127087969470562</v>
      </c>
      <c r="O18" s="57">
        <f t="shared" si="5"/>
        <v>0.12657820611033832</v>
      </c>
      <c r="P18" s="57">
        <f t="shared" si="6"/>
        <v>0.16590536369034847</v>
      </c>
      <c r="Q18" s="57">
        <f t="shared" si="7"/>
        <v>0.13056725811866493</v>
      </c>
      <c r="R18" s="57">
        <f t="shared" si="8"/>
        <v>9.96575396863216E-2</v>
      </c>
      <c r="T18" t="s">
        <v>125</v>
      </c>
      <c r="U18" s="11">
        <f>U8*12</f>
        <v>14.783999999999999</v>
      </c>
      <c r="V18" s="11">
        <f>V8*10</f>
        <v>14.8</v>
      </c>
      <c r="W18" s="11">
        <f t="shared" ref="W18:AA18" si="11">W8*10</f>
        <v>15.600000000000001</v>
      </c>
      <c r="X18" s="11">
        <f t="shared" si="11"/>
        <v>21.919999999999998</v>
      </c>
      <c r="Y18" s="11">
        <f t="shared" si="11"/>
        <v>21.520000000000003</v>
      </c>
      <c r="Z18" s="11">
        <f t="shared" si="11"/>
        <v>19.666666666666664</v>
      </c>
      <c r="AA18" s="11">
        <f t="shared" si="11"/>
        <v>12.799999999999997</v>
      </c>
    </row>
    <row r="19" spans="2:27">
      <c r="B19" s="60">
        <v>0.83333333333333304</v>
      </c>
      <c r="C19" s="59">
        <f>AVERAGE(Sales!B27:F27)</f>
        <v>330.166</v>
      </c>
      <c r="D19" s="59">
        <f>AVERAGE(Sales!H27:L27)</f>
        <v>432.58199999999999</v>
      </c>
      <c r="E19" s="59">
        <f>AVERAGE(Sales!N27:R27)</f>
        <v>408.89400000000001</v>
      </c>
      <c r="F19" s="59">
        <f>AVERAGE(Sales!T27:X27)</f>
        <v>453.13</v>
      </c>
      <c r="G19" s="59">
        <f>AVERAGE(Sales!Z27:AD27)</f>
        <v>624.60599999999999</v>
      </c>
      <c r="H19" s="59">
        <f>AVERAGE(Sales!AF27:AJ27)</f>
        <v>552.32800000000009</v>
      </c>
      <c r="I19" s="59">
        <f>AVERAGE(Sales!AL27:AP27)</f>
        <v>392.03</v>
      </c>
      <c r="J19" s="4" t="s">
        <v>220</v>
      </c>
      <c r="K19" s="56">
        <f t="shared" si="1"/>
        <v>0.83333333333333304</v>
      </c>
      <c r="L19" s="57">
        <f t="shared" si="2"/>
        <v>7.2825905223050644E-2</v>
      </c>
      <c r="M19" s="57">
        <f t="shared" si="3"/>
        <v>9.3164226549678875E-2</v>
      </c>
      <c r="N19" s="57">
        <f t="shared" si="4"/>
        <v>7.7586167638674278E-2</v>
      </c>
      <c r="O19" s="57">
        <f t="shared" si="5"/>
        <v>8.3685277020373455E-2</v>
      </c>
      <c r="P19" s="57">
        <f t="shared" si="6"/>
        <v>8.8396531198326175E-2</v>
      </c>
      <c r="Q19" s="57">
        <f t="shared" si="7"/>
        <v>7.8042499991522157E-2</v>
      </c>
      <c r="R19" s="57">
        <f t="shared" si="8"/>
        <v>6.2270276795613456E-2</v>
      </c>
      <c r="T19" t="s">
        <v>45</v>
      </c>
      <c r="U19" s="11">
        <f>U9*10</f>
        <v>4.9800000000000004</v>
      </c>
      <c r="V19" s="11">
        <f t="shared" ref="V19:AA19" si="12">V9*12</f>
        <v>6.9120000000000008</v>
      </c>
      <c r="W19" s="11">
        <f t="shared" si="12"/>
        <v>6.3840000000000003</v>
      </c>
      <c r="X19" s="11">
        <f t="shared" si="12"/>
        <v>9.6479999999999997</v>
      </c>
      <c r="Y19" s="11">
        <f t="shared" si="12"/>
        <v>9.0240000000000009</v>
      </c>
      <c r="Z19" s="11">
        <f t="shared" si="12"/>
        <v>7.4534000000000002</v>
      </c>
      <c r="AA19" s="11">
        <f t="shared" si="12"/>
        <v>6.4560000000000004</v>
      </c>
    </row>
    <row r="20" spans="2:27">
      <c r="B20" s="62">
        <v>0.875</v>
      </c>
      <c r="C20" s="59">
        <f>AVERAGE(Sales!B28:F28)</f>
        <v>183.52199999999999</v>
      </c>
      <c r="D20" s="59">
        <f>AVERAGE(Sales!H28:L28)</f>
        <v>286.678</v>
      </c>
      <c r="E20" s="59">
        <f>AVERAGE(Sales!N28:R28)</f>
        <v>221.07399999999998</v>
      </c>
      <c r="F20" s="59">
        <f>AVERAGE(Sales!T28:X28)</f>
        <v>339.57599999999996</v>
      </c>
      <c r="G20" s="59">
        <f>AVERAGE(Sales!Z28:AD28)</f>
        <v>319.49599999999998</v>
      </c>
      <c r="H20" s="59">
        <f>AVERAGE(Sales!AF28:AJ28)</f>
        <v>241.57</v>
      </c>
      <c r="I20" s="59">
        <f>AVERAGE(Sales!AL28:AP28)</f>
        <v>117.86399999999999</v>
      </c>
      <c r="J20" s="4" t="s">
        <v>221</v>
      </c>
      <c r="K20" s="56">
        <f t="shared" si="1"/>
        <v>0.875</v>
      </c>
      <c r="L20" s="57">
        <f t="shared" si="2"/>
        <v>4.0480109333925055E-2</v>
      </c>
      <c r="M20" s="57">
        <f t="shared" si="3"/>
        <v>6.174120545655816E-2</v>
      </c>
      <c r="N20" s="57">
        <f t="shared" si="4"/>
        <v>4.1947997340514354E-2</v>
      </c>
      <c r="O20" s="57">
        <f t="shared" si="5"/>
        <v>6.2713816409132775E-2</v>
      </c>
      <c r="P20" s="57">
        <f t="shared" si="6"/>
        <v>4.5216245331841862E-2</v>
      </c>
      <c r="Q20" s="57">
        <f t="shared" si="7"/>
        <v>3.4133208388769001E-2</v>
      </c>
      <c r="R20" s="57">
        <f t="shared" si="8"/>
        <v>1.8721587389327818E-2</v>
      </c>
      <c r="T20" t="s">
        <v>146</v>
      </c>
      <c r="U20" s="11">
        <f>U10*6</f>
        <v>4.9079999999999995</v>
      </c>
      <c r="V20" s="11">
        <f t="shared" ref="V20:AA20" si="13">V10*6</f>
        <v>5.6880000000000006</v>
      </c>
      <c r="W20" s="11">
        <f t="shared" si="13"/>
        <v>5.6999999999999993</v>
      </c>
      <c r="X20" s="11">
        <f t="shared" si="13"/>
        <v>7.5</v>
      </c>
      <c r="Y20" s="11">
        <f t="shared" si="13"/>
        <v>7.1159999999999997</v>
      </c>
      <c r="Z20" s="11">
        <f t="shared" si="13"/>
        <v>6.8467000000000002</v>
      </c>
      <c r="AA20" s="11">
        <f t="shared" si="13"/>
        <v>4.6920000000000002</v>
      </c>
    </row>
    <row r="21" spans="2:27">
      <c r="B21" s="60">
        <v>0.91666666666666696</v>
      </c>
      <c r="C21" s="59">
        <v>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4"/>
      <c r="K21" s="56">
        <f t="shared" si="1"/>
        <v>0.91666666666666696</v>
      </c>
      <c r="L21" s="57">
        <f t="shared" si="2"/>
        <v>0</v>
      </c>
      <c r="M21" s="57">
        <f t="shared" si="3"/>
        <v>0</v>
      </c>
      <c r="N21" s="57">
        <f t="shared" si="4"/>
        <v>0</v>
      </c>
      <c r="O21" s="57">
        <f t="shared" si="5"/>
        <v>0</v>
      </c>
      <c r="P21" s="57">
        <f t="shared" si="6"/>
        <v>0</v>
      </c>
      <c r="Q21" s="57">
        <f t="shared" si="7"/>
        <v>0</v>
      </c>
      <c r="R21" s="57">
        <f t="shared" si="8"/>
        <v>0</v>
      </c>
      <c r="T21" t="s">
        <v>160</v>
      </c>
      <c r="U21" s="11">
        <f>U11</f>
        <v>5841.1</v>
      </c>
      <c r="V21" s="11">
        <f t="shared" ref="V21:AA21" si="14">V11</f>
        <v>6235.9</v>
      </c>
      <c r="W21" s="11">
        <f t="shared" si="14"/>
        <v>6118.5</v>
      </c>
      <c r="X21" s="11">
        <f t="shared" si="14"/>
        <v>8464.6</v>
      </c>
      <c r="Y21" s="11">
        <f t="shared" si="14"/>
        <v>9060.7999999999993</v>
      </c>
      <c r="Z21" s="11">
        <f t="shared" si="14"/>
        <v>6617.7778333333335</v>
      </c>
      <c r="AA21" s="11">
        <f t="shared" si="14"/>
        <v>5631.9</v>
      </c>
    </row>
    <row r="22" spans="2:27" ht="15.75" customHeight="1">
      <c r="B22" s="62">
        <v>0.95833333333333404</v>
      </c>
      <c r="C22" s="59">
        <v>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4"/>
      <c r="K22" s="56">
        <f t="shared" si="1"/>
        <v>0.95833333333333404</v>
      </c>
      <c r="L22" s="57">
        <f t="shared" si="2"/>
        <v>0</v>
      </c>
      <c r="M22" s="57">
        <f t="shared" si="3"/>
        <v>0</v>
      </c>
      <c r="N22" s="57">
        <f t="shared" si="4"/>
        <v>0</v>
      </c>
      <c r="O22" s="57">
        <f t="shared" si="5"/>
        <v>0</v>
      </c>
      <c r="P22" s="57">
        <f t="shared" si="6"/>
        <v>0</v>
      </c>
      <c r="Q22" s="57">
        <f t="shared" si="7"/>
        <v>0</v>
      </c>
      <c r="R22" s="57">
        <f t="shared" si="8"/>
        <v>0</v>
      </c>
      <c r="U22" s="11" t="str" cm="1">
        <f t="array" ref="U22">IF($T22="","",_xlfn.XLOOKUP(TRIM($T22),ISE!$L:$L,INDEX(ISE!$N:$T,0,COLUMN()-COLUMN($U$1)+1),""))</f>
        <v/>
      </c>
      <c r="V22" s="11" t="str" cm="1">
        <f t="array" ref="V22">IF($T22="","",_xlfn.XLOOKUP(TRIM($T22),ISE!$L:$L,INDEX(ISE!$N:$T,0,COLUMN()-COLUMN($U$1)+1),""))</f>
        <v/>
      </c>
      <c r="W22" s="11" t="str" cm="1">
        <f t="array" ref="W22">IF($T22="","",_xlfn.XLOOKUP(TRIM($T22),ISE!$L:$L,INDEX(ISE!$N:$T,0,COLUMN()-COLUMN($U$1)+1),""))</f>
        <v/>
      </c>
      <c r="X22" s="11" t="str" cm="1">
        <f t="array" ref="X22">IF($T22="","",_xlfn.XLOOKUP(TRIM($T22),ISE!$L:$L,INDEX(ISE!$N:$T,0,COLUMN()-COLUMN($U$1)+1),""))</f>
        <v/>
      </c>
      <c r="Y22" s="11" t="str" cm="1">
        <f t="array" ref="Y22">IF($T22="","",_xlfn.XLOOKUP(TRIM($T22),ISE!$L:$L,INDEX(ISE!$N:$T,0,COLUMN()-COLUMN($U$1)+1),""))</f>
        <v/>
      </c>
      <c r="Z22" s="11" t="str" cm="1">
        <f t="array" ref="Z22">IF($T22="","",_xlfn.XLOOKUP(TRIM($T22),ISE!$L:$L,INDEX(ISE!$N:$T,0,COLUMN()-COLUMN($U$1)+1),""))</f>
        <v/>
      </c>
      <c r="AA22" s="11" t="str" cm="1">
        <f t="array" ref="AA22">IF($T22="","",_xlfn.XLOOKUP(TRIM($T22),ISE!$L:$L,INDEX(ISE!$N:$T,0,COLUMN()-COLUMN($U$1)+1),""))</f>
        <v/>
      </c>
    </row>
    <row r="23" spans="2:27" ht="15.75" customHeight="1">
      <c r="B23" s="63"/>
      <c r="C23" s="64"/>
      <c r="D23" s="64"/>
      <c r="E23" s="64"/>
      <c r="F23" s="64"/>
      <c r="G23" s="64"/>
      <c r="H23" s="64"/>
      <c r="I23" s="64"/>
      <c r="J23" s="4"/>
      <c r="K23" s="56">
        <f t="shared" si="1"/>
        <v>0</v>
      </c>
      <c r="L23" s="57">
        <f t="shared" si="2"/>
        <v>0</v>
      </c>
      <c r="M23" s="57">
        <f t="shared" si="3"/>
        <v>0</v>
      </c>
      <c r="N23" s="57">
        <f t="shared" si="4"/>
        <v>0</v>
      </c>
      <c r="O23" s="57">
        <f t="shared" si="5"/>
        <v>0</v>
      </c>
      <c r="P23" s="57">
        <f t="shared" si="6"/>
        <v>0</v>
      </c>
      <c r="Q23" s="57">
        <f t="shared" si="7"/>
        <v>0</v>
      </c>
      <c r="R23" s="57">
        <f t="shared" si="8"/>
        <v>0</v>
      </c>
      <c r="U23" s="11" t="str" cm="1">
        <f t="array" ref="U23">IF($T23="","",_xlfn.XLOOKUP(TRIM($T23),ISE!$L:$L,INDEX(ISE!$N:$T,0,COLUMN()-COLUMN($U$1)+1),""))</f>
        <v/>
      </c>
      <c r="V23" s="11" t="str" cm="1">
        <f t="array" ref="V23">IF($T23="","",_xlfn.XLOOKUP(TRIM($T23),ISE!$L:$L,INDEX(ISE!$N:$T,0,COLUMN()-COLUMN($U$1)+1),""))</f>
        <v/>
      </c>
      <c r="W23" s="11" t="str" cm="1">
        <f t="array" ref="W23">IF($T23="","",_xlfn.XLOOKUP(TRIM($T23),ISE!$L:$L,INDEX(ISE!$N:$T,0,COLUMN()-COLUMN($U$1)+1),""))</f>
        <v/>
      </c>
      <c r="X23" s="11" t="str" cm="1">
        <f t="array" ref="X23">IF($T23="","",_xlfn.XLOOKUP(TRIM($T23),ISE!$L:$L,INDEX(ISE!$N:$T,0,COLUMN()-COLUMN($U$1)+1),""))</f>
        <v/>
      </c>
      <c r="Y23" s="11" t="str" cm="1">
        <f t="array" ref="Y23">IF($T23="","",_xlfn.XLOOKUP(TRIM($T23),ISE!$L:$L,INDEX(ISE!$N:$T,0,COLUMN()-COLUMN($U$1)+1),""))</f>
        <v/>
      </c>
      <c r="Z23" s="11" t="str" cm="1">
        <f t="array" ref="Z23">IF($T23="","",_xlfn.XLOOKUP(TRIM($T23),ISE!$L:$L,INDEX(ISE!$N:$T,0,COLUMN()-COLUMN($U$1)+1),""))</f>
        <v/>
      </c>
      <c r="AA23" s="11" t="str" cm="1">
        <f t="array" ref="AA23">IF($T23="","",_xlfn.XLOOKUP(TRIM($T23),ISE!$L:$L,INDEX(ISE!$N:$T,0,COLUMN()-COLUMN($U$1)+1),""))</f>
        <v/>
      </c>
    </row>
    <row r="24" spans="2:27" ht="15.75" customHeight="1">
      <c r="B24" s="65" t="s">
        <v>222</v>
      </c>
      <c r="C24" s="66">
        <f>SUM(C8:C12,C14:C22)</f>
        <v>4533.634</v>
      </c>
      <c r="D24" s="66">
        <f t="shared" ref="D24:I24" si="15">SUM(D8:D12,D14:D22)</f>
        <v>4643.22</v>
      </c>
      <c r="E24" s="66">
        <f t="shared" si="15"/>
        <v>5270.1919999999991</v>
      </c>
      <c r="F24" s="66">
        <f t="shared" si="15"/>
        <v>5414.692</v>
      </c>
      <c r="G24" s="66">
        <f t="shared" si="15"/>
        <v>7065.9560000000001</v>
      </c>
      <c r="H24" s="66">
        <f t="shared" si="15"/>
        <v>7077.2720000000008</v>
      </c>
      <c r="I24" s="66">
        <f t="shared" si="15"/>
        <v>6295.62</v>
      </c>
      <c r="J24" s="3"/>
      <c r="K24" s="67" t="str">
        <f t="shared" si="1"/>
        <v>Totals</v>
      </c>
      <c r="L24" s="68">
        <f t="shared" si="2"/>
        <v>1</v>
      </c>
      <c r="M24" s="68">
        <f t="shared" si="3"/>
        <v>1</v>
      </c>
      <c r="N24" s="68">
        <f t="shared" si="4"/>
        <v>1</v>
      </c>
      <c r="O24" s="68">
        <f t="shared" si="5"/>
        <v>1</v>
      </c>
      <c r="P24" s="68">
        <f t="shared" si="6"/>
        <v>1</v>
      </c>
      <c r="Q24" s="68">
        <f t="shared" si="7"/>
        <v>1</v>
      </c>
      <c r="R24" s="68">
        <f t="shared" si="8"/>
        <v>1</v>
      </c>
      <c r="U24" s="11" t="str" cm="1">
        <f t="array" ref="U24">IF($T24="","",_xlfn.XLOOKUP(TRIM($T24),ISE!$L:$L,INDEX(ISE!$N:$T,0,COLUMN()-COLUMN($U$1)+1),""))</f>
        <v/>
      </c>
      <c r="V24" s="11" t="str" cm="1">
        <f t="array" ref="V24">IF($T24="","",_xlfn.XLOOKUP(TRIM($T24),ISE!$L:$L,INDEX(ISE!$N:$T,0,COLUMN()-COLUMN($U$1)+1),""))</f>
        <v/>
      </c>
      <c r="W24" s="11" t="str" cm="1">
        <f t="array" ref="W24">IF($T24="","",_xlfn.XLOOKUP(TRIM($T24),ISE!$L:$L,INDEX(ISE!$N:$T,0,COLUMN()-COLUMN($U$1)+1),""))</f>
        <v/>
      </c>
      <c r="X24" s="11" t="str" cm="1">
        <f t="array" ref="X24">IF($T24="","",_xlfn.XLOOKUP(TRIM($T24),ISE!$L:$L,INDEX(ISE!$N:$T,0,COLUMN()-COLUMN($U$1)+1),""))</f>
        <v/>
      </c>
      <c r="Y24" s="11" t="str" cm="1">
        <f t="array" ref="Y24">IF($T24="","",_xlfn.XLOOKUP(TRIM($T24),ISE!$L:$L,INDEX(ISE!$N:$T,0,COLUMN()-COLUMN($U$1)+1),""))</f>
        <v/>
      </c>
      <c r="Z24" s="11" t="str" cm="1">
        <f t="array" ref="Z24">IF($T24="","",_xlfn.XLOOKUP(TRIM($T24),ISE!$L:$L,INDEX(ISE!$N:$T,0,COLUMN()-COLUMN($U$1)+1),""))</f>
        <v/>
      </c>
      <c r="AA24" s="11" t="str" cm="1">
        <f t="array" ref="AA24">IF($T24="","",_xlfn.XLOOKUP(TRIM($T24),ISE!$L:$L,INDEX(ISE!$N:$T,0,COLUMN()-COLUMN($U$1)+1),""))</f>
        <v/>
      </c>
    </row>
    <row r="25" spans="2:27" ht="15.75" customHeight="1">
      <c r="B25" s="69"/>
      <c r="C25" s="46"/>
      <c r="D25" s="46"/>
      <c r="E25" s="46"/>
      <c r="F25" s="46"/>
      <c r="G25" s="46"/>
      <c r="H25" s="46"/>
      <c r="I25" s="70"/>
      <c r="J25" s="4" t="s">
        <v>223</v>
      </c>
      <c r="K25" s="71"/>
      <c r="U25" s="11" t="str" cm="1">
        <f t="array" ref="U25">IF($T25="","",_xlfn.XLOOKUP(TRIM($T25),ISE!$L:$L,INDEX(ISE!$N:$T,0,COLUMN()-COLUMN($U$1)+1),""))</f>
        <v/>
      </c>
      <c r="V25" s="11" t="str" cm="1">
        <f t="array" ref="V25">IF($T25="","",_xlfn.XLOOKUP(TRIM($T25),ISE!$L:$L,INDEX(ISE!$N:$T,0,COLUMN()-COLUMN($U$1)+1),""))</f>
        <v/>
      </c>
      <c r="W25" s="11" t="str" cm="1">
        <f t="array" ref="W25">IF($T25="","",_xlfn.XLOOKUP(TRIM($T25),ISE!$L:$L,INDEX(ISE!$N:$T,0,COLUMN()-COLUMN($U$1)+1),""))</f>
        <v/>
      </c>
      <c r="X25" s="11" t="str" cm="1">
        <f t="array" ref="X25">IF($T25="","",_xlfn.XLOOKUP(TRIM($T25),ISE!$L:$L,INDEX(ISE!$N:$T,0,COLUMN()-COLUMN($U$1)+1),""))</f>
        <v/>
      </c>
      <c r="Y25" s="11" t="str" cm="1">
        <f t="array" ref="Y25">IF($T25="","",_xlfn.XLOOKUP(TRIM($T25),ISE!$L:$L,INDEX(ISE!$N:$T,0,COLUMN()-COLUMN($U$1)+1),""))</f>
        <v/>
      </c>
      <c r="Z25" s="11" t="str" cm="1">
        <f t="array" ref="Z25">IF($T25="","",_xlfn.XLOOKUP(TRIM($T25),ISE!$L:$L,INDEX(ISE!$N:$T,0,COLUMN()-COLUMN($U$1)+1),""))</f>
        <v/>
      </c>
      <c r="AA25" s="11" t="str" cm="1">
        <f t="array" ref="AA25">IF($T25="","",_xlfn.XLOOKUP(TRIM($T25),ISE!$L:$L,INDEX(ISE!$N:$T,0,COLUMN()-COLUMN($U$1)+1),""))</f>
        <v/>
      </c>
    </row>
    <row r="26" spans="2:27" ht="15.75" customHeight="1">
      <c r="B26" s="126">
        <f>SUM(C36:I37)</f>
        <v>0</v>
      </c>
      <c r="C26" s="124" t="s">
        <v>224</v>
      </c>
      <c r="D26" s="124"/>
      <c r="E26" s="124"/>
      <c r="F26" s="124"/>
      <c r="G26" s="124"/>
      <c r="H26" s="124"/>
      <c r="I26" s="125"/>
      <c r="J26" s="4"/>
      <c r="K26" s="130" t="s">
        <v>225</v>
      </c>
      <c r="L26" s="130"/>
      <c r="M26" s="130"/>
      <c r="N26" s="130"/>
      <c r="O26" s="130"/>
      <c r="P26" s="130"/>
      <c r="Q26" s="130"/>
      <c r="R26" s="130"/>
      <c r="U26" s="11" t="str" cm="1">
        <f t="array" ref="U26">IF($T26="","",_xlfn.XLOOKUP(TRIM($T26),ISE!$L:$L,INDEX(ISE!$N:$T,0,COLUMN()-COLUMN($U$1)+1),""))</f>
        <v/>
      </c>
      <c r="V26" s="11" t="str" cm="1">
        <f t="array" ref="V26">IF($T26="","",_xlfn.XLOOKUP(TRIM($T26),ISE!$L:$L,INDEX(ISE!$N:$T,0,COLUMN()-COLUMN($U$1)+1),""))</f>
        <v/>
      </c>
      <c r="W26" s="11" t="str" cm="1">
        <f t="array" ref="W26">IF($T26="","",_xlfn.XLOOKUP(TRIM($T26),ISE!$L:$L,INDEX(ISE!$N:$T,0,COLUMN()-COLUMN($U$1)+1),""))</f>
        <v/>
      </c>
      <c r="X26" s="11" t="str" cm="1">
        <f t="array" ref="X26">IF($T26="","",_xlfn.XLOOKUP(TRIM($T26),ISE!$L:$L,INDEX(ISE!$N:$T,0,COLUMN()-COLUMN($U$1)+1),""))</f>
        <v/>
      </c>
      <c r="Y26" s="11" t="str" cm="1">
        <f t="array" ref="Y26">IF($T26="","",_xlfn.XLOOKUP(TRIM($T26),ISE!$L:$L,INDEX(ISE!$N:$T,0,COLUMN()-COLUMN($U$1)+1),""))</f>
        <v/>
      </c>
      <c r="Z26" s="11" t="str" cm="1">
        <f t="array" ref="Z26">IF($T26="","",_xlfn.XLOOKUP(TRIM($T26),ISE!$L:$L,INDEX(ISE!$N:$T,0,COLUMN()-COLUMN($U$1)+1),""))</f>
        <v/>
      </c>
      <c r="AA26" s="11" t="str" cm="1">
        <f t="array" ref="AA26">IF($T26="","",_xlfn.XLOOKUP(TRIM($T26),ISE!$L:$L,INDEX(ISE!$N:$T,0,COLUMN()-COLUMN($U$1)+1),""))</f>
        <v/>
      </c>
    </row>
    <row r="27" spans="2:27" ht="15.75" customHeight="1">
      <c r="B27" s="127"/>
      <c r="C27" s="72" t="s">
        <v>199</v>
      </c>
      <c r="D27" s="73" t="s">
        <v>200</v>
      </c>
      <c r="E27" s="74" t="s">
        <v>201</v>
      </c>
      <c r="F27" s="75" t="s">
        <v>202</v>
      </c>
      <c r="G27" s="76" t="s">
        <v>203</v>
      </c>
      <c r="H27" s="77" t="s">
        <v>204</v>
      </c>
      <c r="I27" s="78" t="s">
        <v>205</v>
      </c>
      <c r="J27" s="4"/>
      <c r="K27" s="55" t="s">
        <v>226</v>
      </c>
      <c r="L27" s="55" t="s">
        <v>199</v>
      </c>
      <c r="M27" s="55" t="s">
        <v>200</v>
      </c>
      <c r="N27" s="55" t="s">
        <v>201</v>
      </c>
      <c r="O27" s="55" t="s">
        <v>202</v>
      </c>
      <c r="P27" s="55" t="s">
        <v>203</v>
      </c>
      <c r="Q27" s="55" t="s">
        <v>204</v>
      </c>
      <c r="R27" s="55" t="s">
        <v>205</v>
      </c>
      <c r="U27" s="11" t="str" cm="1">
        <f t="array" ref="U27">IF($T27="","",_xlfn.XLOOKUP(TRIM($T27),ISE!$L:$L,INDEX(ISE!$N:$T,0,COLUMN()-COLUMN($U$1)+1),""))</f>
        <v/>
      </c>
      <c r="V27" s="11" t="str" cm="1">
        <f t="array" ref="V27">IF($T27="","",_xlfn.XLOOKUP(TRIM($T27),ISE!$L:$L,INDEX(ISE!$N:$T,0,COLUMN()-COLUMN($U$1)+1),""))</f>
        <v/>
      </c>
      <c r="W27" s="11" t="str" cm="1">
        <f t="array" ref="W27">IF($T27="","",_xlfn.XLOOKUP(TRIM($T27),ISE!$L:$L,INDEX(ISE!$N:$T,0,COLUMN()-COLUMN($U$1)+1),""))</f>
        <v/>
      </c>
      <c r="X27" s="11" t="str" cm="1">
        <f t="array" ref="X27">IF($T27="","",_xlfn.XLOOKUP(TRIM($T27),ISE!$L:$L,INDEX(ISE!$N:$T,0,COLUMN()-COLUMN($U$1)+1),""))</f>
        <v/>
      </c>
      <c r="Y27" s="11" t="str" cm="1">
        <f t="array" ref="Y27">IF($T27="","",_xlfn.XLOOKUP(TRIM($T27),ISE!$L:$L,INDEX(ISE!$N:$T,0,COLUMN()-COLUMN($U$1)+1),""))</f>
        <v/>
      </c>
      <c r="Z27" s="11" t="str" cm="1">
        <f t="array" ref="Z27">IF($T27="","",_xlfn.XLOOKUP(TRIM($T27),ISE!$L:$L,INDEX(ISE!$N:$T,0,COLUMN()-COLUMN($U$1)+1),""))</f>
        <v/>
      </c>
      <c r="AA27" s="11" t="str" cm="1">
        <f t="array" ref="AA27">IF($T27="","",_xlfn.XLOOKUP(TRIM($T27),ISE!$L:$L,INDEX(ISE!$N:$T,0,COLUMN()-COLUMN($U$1)+1),""))</f>
        <v/>
      </c>
    </row>
    <row r="28" spans="2:27">
      <c r="B28" s="79" t="s">
        <v>227</v>
      </c>
      <c r="C28" s="80">
        <f>SUM(C8:C11)</f>
        <v>1339.8319999999999</v>
      </c>
      <c r="D28" s="80">
        <f>SUM(D8:D9)</f>
        <v>455.15999999999997</v>
      </c>
      <c r="E28" s="80">
        <f t="shared" ref="E28:I28" si="16">SUM(E8:E9)</f>
        <v>500.42599999999999</v>
      </c>
      <c r="F28" s="80">
        <f t="shared" si="16"/>
        <v>408.35400000000004</v>
      </c>
      <c r="G28" s="80">
        <f t="shared" si="16"/>
        <v>393.58600000000001</v>
      </c>
      <c r="H28" s="80">
        <f t="shared" si="16"/>
        <v>532.56799999999998</v>
      </c>
      <c r="I28" s="80">
        <f t="shared" si="16"/>
        <v>620.42999999999995</v>
      </c>
      <c r="J28" s="4" t="s">
        <v>228</v>
      </c>
      <c r="K28" s="81" t="str">
        <f>B28</f>
        <v>8:45am</v>
      </c>
      <c r="L28" s="57">
        <f>IFERROR(C28/C$35,0)</f>
        <v>0.16922104605865076</v>
      </c>
      <c r="M28" s="57">
        <f t="shared" ref="M28:R32" si="17">IFERROR(D28/D$35,0)</f>
        <v>8.8678162330367655E-2</v>
      </c>
      <c r="N28" s="57">
        <f t="shared" si="17"/>
        <v>8.5838159906605246E-2</v>
      </c>
      <c r="O28" s="57">
        <f t="shared" si="17"/>
        <v>6.7631523682643246E-2</v>
      </c>
      <c r="P28" s="57">
        <f t="shared" si="17"/>
        <v>4.919634364168389E-2</v>
      </c>
      <c r="Q28" s="57">
        <f t="shared" si="17"/>
        <v>6.6511588523551338E-2</v>
      </c>
      <c r="R28" s="57">
        <f t="shared" si="17"/>
        <v>8.8529303152255615E-2</v>
      </c>
      <c r="U28" s="11" t="str" cm="1">
        <f t="array" ref="U28">IF($T28="","",_xlfn.XLOOKUP(TRIM($T28),ISE!$L:$L,INDEX(ISE!$N:$T,0,COLUMN()-COLUMN($U$1)+1),""))</f>
        <v/>
      </c>
      <c r="V28" s="11" t="str" cm="1">
        <f t="array" ref="V28">IF($T28="","",_xlfn.XLOOKUP(TRIM($T28),ISE!$L:$L,INDEX(ISE!$N:$T,0,COLUMN()-COLUMN($U$1)+1),""))</f>
        <v/>
      </c>
      <c r="W28" s="11" t="str" cm="1">
        <f t="array" ref="W28">IF($T28="","",_xlfn.XLOOKUP(TRIM($T28),ISE!$L:$L,INDEX(ISE!$N:$T,0,COLUMN()-COLUMN($U$1)+1),""))</f>
        <v/>
      </c>
      <c r="X28" s="11" t="str" cm="1">
        <f t="array" ref="X28">IF($T28="","",_xlfn.XLOOKUP(TRIM($T28),ISE!$L:$L,INDEX(ISE!$N:$T,0,COLUMN()-COLUMN($U$1)+1),""))</f>
        <v/>
      </c>
      <c r="Y28" s="11" t="str" cm="1">
        <f t="array" ref="Y28">IF($T28="","",_xlfn.XLOOKUP(TRIM($T28),ISE!$L:$L,INDEX(ISE!$N:$T,0,COLUMN()-COLUMN($U$1)+1),""))</f>
        <v/>
      </c>
      <c r="Z28" s="11" t="str" cm="1">
        <f t="array" ref="Z28">IF($T28="","",_xlfn.XLOOKUP(TRIM($T28),ISE!$L:$L,INDEX(ISE!$N:$T,0,COLUMN()-COLUMN($U$1)+1),""))</f>
        <v/>
      </c>
      <c r="AA28" s="11" t="str" cm="1">
        <f t="array" ref="AA28">IF($T28="","",_xlfn.XLOOKUP(TRIM($T28),ISE!$L:$L,INDEX(ISE!$N:$T,0,COLUMN()-COLUMN($U$1)+1),""))</f>
        <v/>
      </c>
    </row>
    <row r="29" spans="2:27" ht="15.75" customHeight="1">
      <c r="B29" s="82" t="s">
        <v>229</v>
      </c>
      <c r="C29" s="83" cm="1">
        <f t="array" ref="C29">SUM(C10:C12+C14)</f>
        <v>2183.212</v>
      </c>
      <c r="D29" s="83">
        <f>SUM(D10:D12)</f>
        <v>1293.71</v>
      </c>
      <c r="E29" s="83">
        <f t="shared" ref="E29:I29" si="18">SUM(E10:E12)</f>
        <v>1400.93</v>
      </c>
      <c r="F29" s="83">
        <f t="shared" si="18"/>
        <v>1348.56</v>
      </c>
      <c r="G29" s="83">
        <f t="shared" si="18"/>
        <v>1542.3420000000001</v>
      </c>
      <c r="H29" s="83">
        <f t="shared" si="18"/>
        <v>1926.4219999999998</v>
      </c>
      <c r="I29" s="83">
        <f t="shared" si="18"/>
        <v>2025.2059999999999</v>
      </c>
      <c r="J29" s="4" t="s">
        <v>230</v>
      </c>
      <c r="K29" s="81" t="str">
        <f>B29</f>
        <v>10:30am</v>
      </c>
      <c r="L29" s="57">
        <f>IFERROR(C29/C$35,0)</f>
        <v>0.2757401065266385</v>
      </c>
      <c r="M29" s="57">
        <f t="shared" si="17"/>
        <v>0.25205164203449326</v>
      </c>
      <c r="N29" s="57">
        <f t="shared" si="17"/>
        <v>0.24030176960821481</v>
      </c>
      <c r="O29" s="57">
        <f t="shared" si="17"/>
        <v>0.2233482899089157</v>
      </c>
      <c r="P29" s="57">
        <f t="shared" si="17"/>
        <v>0.19278527957041666</v>
      </c>
      <c r="Q29" s="57">
        <f t="shared" si="17"/>
        <v>0.24058784490753632</v>
      </c>
      <c r="R29" s="57">
        <f t="shared" si="17"/>
        <v>0.28897712218907368</v>
      </c>
      <c r="U29" s="11" t="str" cm="1">
        <f t="array" ref="U29">IF($T29="","",_xlfn.XLOOKUP(TRIM($T29),ISE!$L:$L,INDEX(ISE!$N:$T,0,COLUMN()-COLUMN($U$1)+1),""))</f>
        <v/>
      </c>
      <c r="V29" s="11" t="str" cm="1">
        <f t="array" ref="V29">IF($T29="","",_xlfn.XLOOKUP(TRIM($T29),ISE!$L:$L,INDEX(ISE!$N:$T,0,COLUMN()-COLUMN($U$1)+1),""))</f>
        <v/>
      </c>
      <c r="W29" s="11" t="str" cm="1">
        <f t="array" ref="W29">IF($T29="","",_xlfn.XLOOKUP(TRIM($T29),ISE!$L:$L,INDEX(ISE!$N:$T,0,COLUMN()-COLUMN($U$1)+1),""))</f>
        <v/>
      </c>
      <c r="X29" s="11" t="str" cm="1">
        <f t="array" ref="X29">IF($T29="","",_xlfn.XLOOKUP(TRIM($T29),ISE!$L:$L,INDEX(ISE!$N:$T,0,COLUMN()-COLUMN($U$1)+1),""))</f>
        <v/>
      </c>
      <c r="Y29" s="11" t="str" cm="1">
        <f t="array" ref="Y29">IF($T29="","",_xlfn.XLOOKUP(TRIM($T29),ISE!$L:$L,INDEX(ISE!$N:$T,0,COLUMN()-COLUMN($U$1)+1),""))</f>
        <v/>
      </c>
      <c r="Z29" s="11" t="str" cm="1">
        <f t="array" ref="Z29">IF($T29="","",_xlfn.XLOOKUP(TRIM($T29),ISE!$L:$L,INDEX(ISE!$N:$T,0,COLUMN()-COLUMN($U$1)+1),""))</f>
        <v/>
      </c>
      <c r="AA29" s="11" t="str" cm="1">
        <f t="array" ref="AA29">IF($T29="","",_xlfn.XLOOKUP(TRIM($T29),ISE!$L:$L,INDEX(ISE!$N:$T,0,COLUMN()-COLUMN($U$1)+1),""))</f>
        <v/>
      </c>
    </row>
    <row r="30" spans="2:27">
      <c r="B30" s="84" t="s">
        <v>231</v>
      </c>
      <c r="C30" s="85">
        <f>SUM(C14:C17)</f>
        <v>1787.106</v>
      </c>
      <c r="D30" s="85">
        <f>SUM(D14:D16)</f>
        <v>1042.7359999999999</v>
      </c>
      <c r="E30" s="85">
        <f t="shared" ref="E30:I30" si="19">SUM(E14:E16)</f>
        <v>1217.5119999999999</v>
      </c>
      <c r="F30" s="85">
        <f>SUM(F14:F16)</f>
        <v>1290.028</v>
      </c>
      <c r="G30" s="85">
        <f t="shared" si="19"/>
        <v>1567.0099999999998</v>
      </c>
      <c r="H30" s="85">
        <f t="shared" si="19"/>
        <v>1856.1479999999999</v>
      </c>
      <c r="I30" s="85">
        <f t="shared" si="19"/>
        <v>1659.0620000000001</v>
      </c>
      <c r="J30" s="4" t="s">
        <v>232</v>
      </c>
      <c r="K30" s="81" t="str">
        <f>B30</f>
        <v>2:00pm</v>
      </c>
      <c r="L30" s="57">
        <f>IFERROR(C30/C$35,0)</f>
        <v>0.2257118405424644</v>
      </c>
      <c r="M30" s="57">
        <f t="shared" si="17"/>
        <v>0.20315474179567236</v>
      </c>
      <c r="N30" s="57">
        <f t="shared" si="17"/>
        <v>0.20884004776772344</v>
      </c>
      <c r="O30" s="57">
        <f t="shared" si="17"/>
        <v>0.21365422950007321</v>
      </c>
      <c r="P30" s="57">
        <f t="shared" si="17"/>
        <v>0.19586866008942153</v>
      </c>
      <c r="Q30" s="57">
        <f t="shared" si="17"/>
        <v>0.23181143443618987</v>
      </c>
      <c r="R30" s="57">
        <f t="shared" si="17"/>
        <v>0.23673194840092762</v>
      </c>
      <c r="U30" s="11" t="str" cm="1">
        <f t="array" ref="U30">IF($T30="","",_xlfn.XLOOKUP(TRIM($T30),ISE!$L:$L,INDEX(ISE!$N:$T,0,COLUMN()-COLUMN($U$1)+1),""))</f>
        <v/>
      </c>
      <c r="V30" s="11" t="str" cm="1">
        <f t="array" ref="V30">IF($T30="","",_xlfn.XLOOKUP(TRIM($T30),ISE!$L:$L,INDEX(ISE!$N:$T,0,COLUMN()-COLUMN($U$1)+1),""))</f>
        <v/>
      </c>
      <c r="W30" s="11" t="str" cm="1">
        <f t="array" ref="W30">IF($T30="","",_xlfn.XLOOKUP(TRIM($T30),ISE!$L:$L,INDEX(ISE!$N:$T,0,COLUMN()-COLUMN($U$1)+1),""))</f>
        <v/>
      </c>
      <c r="X30" s="11" t="str" cm="1">
        <f t="array" ref="X30">IF($T30="","",_xlfn.XLOOKUP(TRIM($T30),ISE!$L:$L,INDEX(ISE!$N:$T,0,COLUMN()-COLUMN($U$1)+1),""))</f>
        <v/>
      </c>
      <c r="Y30" s="11" t="str" cm="1">
        <f t="array" ref="Y30">IF($T30="","",_xlfn.XLOOKUP(TRIM($T30),ISE!$L:$L,INDEX(ISE!$N:$T,0,COLUMN()-COLUMN($U$1)+1),""))</f>
        <v/>
      </c>
      <c r="Z30" s="11" t="str" cm="1">
        <f t="array" ref="Z30">IF($T30="","",_xlfn.XLOOKUP(TRIM($T30),ISE!$L:$L,INDEX(ISE!$N:$T,0,COLUMN()-COLUMN($U$1)+1),""))</f>
        <v/>
      </c>
      <c r="AA30" s="11" t="str" cm="1">
        <f t="array" ref="AA30">IF($T30="","",_xlfn.XLOOKUP(TRIM($T30),ISE!$L:$L,INDEX(ISE!$N:$T,0,COLUMN()-COLUMN($U$1)+1),""))</f>
        <v/>
      </c>
    </row>
    <row r="31" spans="2:27">
      <c r="B31" s="82" t="s">
        <v>233</v>
      </c>
      <c r="C31" s="86">
        <f>SUM(C16:C19)</f>
        <v>2093.806</v>
      </c>
      <c r="D31" s="86">
        <f>SUM(D16:D18)</f>
        <v>1621.8519999999999</v>
      </c>
      <c r="E31" s="86">
        <f t="shared" ref="E31:I31" si="20">SUM(E16:E18)</f>
        <v>2081.0419999999995</v>
      </c>
      <c r="F31" s="86">
        <f>SUM(F16:F18)</f>
        <v>2198.2759999999998</v>
      </c>
      <c r="G31" s="86">
        <f t="shared" si="20"/>
        <v>3553.2699999999995</v>
      </c>
      <c r="H31" s="86">
        <f t="shared" si="20"/>
        <v>2898.11</v>
      </c>
      <c r="I31" s="86">
        <f t="shared" si="20"/>
        <v>2193.596</v>
      </c>
      <c r="J31" s="4" t="s">
        <v>234</v>
      </c>
      <c r="K31" s="81" t="str">
        <f>B31</f>
        <v>3:30pm</v>
      </c>
      <c r="L31" s="57">
        <f>IFERROR(C31/C$35,0)</f>
        <v>0.264448111079508</v>
      </c>
      <c r="M31" s="57">
        <f t="shared" si="17"/>
        <v>0.31598307173704065</v>
      </c>
      <c r="N31" s="57">
        <f t="shared" si="17"/>
        <v>0.3569615007380943</v>
      </c>
      <c r="O31" s="57">
        <f t="shared" si="17"/>
        <v>0.36407811691568159</v>
      </c>
      <c r="P31" s="57">
        <f t="shared" si="17"/>
        <v>0.44414153951534374</v>
      </c>
      <c r="Q31" s="57">
        <f t="shared" si="17"/>
        <v>0.36194044669598885</v>
      </c>
      <c r="R31" s="57">
        <f t="shared" si="17"/>
        <v>0.31300473103746645</v>
      </c>
      <c r="U31" s="11" t="str" cm="1">
        <f t="array" ref="U31">IF($T31="","",_xlfn.XLOOKUP(TRIM($T31),ISE!$L:$L,INDEX(ISE!$N:$T,0,COLUMN()-COLUMN($U$1)+1),""))</f>
        <v/>
      </c>
      <c r="V31" s="11" t="str" cm="1">
        <f t="array" ref="V31">IF($T31="","",_xlfn.XLOOKUP(TRIM($T31),ISE!$L:$L,INDEX(ISE!$N:$T,0,COLUMN()-COLUMN($U$1)+1),""))</f>
        <v/>
      </c>
      <c r="W31" s="11" t="str" cm="1">
        <f t="array" ref="W31">IF($T31="","",_xlfn.XLOOKUP(TRIM($T31),ISE!$L:$L,INDEX(ISE!$N:$T,0,COLUMN()-COLUMN($U$1)+1),""))</f>
        <v/>
      </c>
      <c r="X31" s="11" t="str" cm="1">
        <f t="array" ref="X31">IF($T31="","",_xlfn.XLOOKUP(TRIM($T31),ISE!$L:$L,INDEX(ISE!$N:$T,0,COLUMN()-COLUMN($U$1)+1),""))</f>
        <v/>
      </c>
      <c r="Y31" s="11" t="str" cm="1">
        <f t="array" ref="Y31">IF($T31="","",_xlfn.XLOOKUP(TRIM($T31),ISE!$L:$L,INDEX(ISE!$N:$T,0,COLUMN()-COLUMN($U$1)+1),""))</f>
        <v/>
      </c>
      <c r="Z31" s="11" t="str" cm="1">
        <f t="array" ref="Z31">IF($T31="","",_xlfn.XLOOKUP(TRIM($T31),ISE!$L:$L,INDEX(ISE!$N:$T,0,COLUMN()-COLUMN($U$1)+1),""))</f>
        <v/>
      </c>
      <c r="AA31" s="11" t="str" cm="1">
        <f t="array" ref="AA31">IF($T31="","",_xlfn.XLOOKUP(TRIM($T31),ISE!$L:$L,INDEX(ISE!$N:$T,0,COLUMN()-COLUMN($U$1)+1),""))</f>
        <v/>
      </c>
    </row>
    <row r="32" spans="2:27">
      <c r="B32" s="87" t="s">
        <v>235</v>
      </c>
      <c r="C32" s="88">
        <f>SUM(C19:C22)</f>
        <v>513.68799999999999</v>
      </c>
      <c r="D32" s="88">
        <f>SUM(D19:D21)</f>
        <v>719.26</v>
      </c>
      <c r="E32" s="88">
        <f t="shared" ref="E32:I32" si="21">SUM(E19:E21)</f>
        <v>629.96799999999996</v>
      </c>
      <c r="F32" s="88">
        <f t="shared" si="21"/>
        <v>792.7059999999999</v>
      </c>
      <c r="G32" s="88">
        <f t="shared" si="21"/>
        <v>944.10199999999998</v>
      </c>
      <c r="H32" s="88">
        <f t="shared" si="21"/>
        <v>793.89800000000014</v>
      </c>
      <c r="I32" s="88">
        <f t="shared" si="21"/>
        <v>509.89399999999995</v>
      </c>
      <c r="J32" s="4" t="s">
        <v>236</v>
      </c>
      <c r="K32" s="81" t="str">
        <f>B32</f>
        <v>7:00pm</v>
      </c>
      <c r="L32" s="57">
        <f>IFERROR(C32/C$35,0)</f>
        <v>6.4878895792738339E-2</v>
      </c>
      <c r="M32" s="57">
        <f>IFERROR(D32/D$35,0)</f>
        <v>0.14013238210242604</v>
      </c>
      <c r="N32" s="57">
        <f t="shared" si="17"/>
        <v>0.10805852197936218</v>
      </c>
      <c r="O32" s="57">
        <f t="shared" si="17"/>
        <v>0.1312878399926862</v>
      </c>
      <c r="P32" s="57">
        <f t="shared" si="17"/>
        <v>0.11800817718313415</v>
      </c>
      <c r="Q32" s="57">
        <f t="shared" si="17"/>
        <v>9.9148685436733663E-2</v>
      </c>
      <c r="R32" s="57">
        <f t="shared" si="17"/>
        <v>7.2756895220276618E-2</v>
      </c>
      <c r="U32" s="11" t="str" cm="1">
        <f t="array" ref="U32">IF($T32="","",_xlfn.XLOOKUP(TRIM($T32),ISE!$L:$L,INDEX(ISE!$N:$T,0,COLUMN()-COLUMN($U$1)+1),""))</f>
        <v/>
      </c>
      <c r="V32" s="11" t="str" cm="1">
        <f t="array" ref="V32">IF($T32="","",_xlfn.XLOOKUP(TRIM($T32),ISE!$L:$L,INDEX(ISE!$N:$T,0,COLUMN()-COLUMN($U$1)+1),""))</f>
        <v/>
      </c>
      <c r="W32" s="11" t="str" cm="1">
        <f t="array" ref="W32">IF($T32="","",_xlfn.XLOOKUP(TRIM($T32),ISE!$L:$L,INDEX(ISE!$N:$T,0,COLUMN()-COLUMN($U$1)+1),""))</f>
        <v/>
      </c>
      <c r="X32" s="11" t="str" cm="1">
        <f t="array" ref="X32">IF($T32="","",_xlfn.XLOOKUP(TRIM($T32),ISE!$L:$L,INDEX(ISE!$N:$T,0,COLUMN()-COLUMN($U$1)+1),""))</f>
        <v/>
      </c>
      <c r="Y32" s="11" t="str" cm="1">
        <f t="array" ref="Y32">IF($T32="","",_xlfn.XLOOKUP(TRIM($T32),ISE!$L:$L,INDEX(ISE!$N:$T,0,COLUMN()-COLUMN($U$1)+1),""))</f>
        <v/>
      </c>
      <c r="Z32" s="11" t="str" cm="1">
        <f t="array" ref="Z32">IF($T32="","",_xlfn.XLOOKUP(TRIM($T32),ISE!$L:$L,INDEX(ISE!$N:$T,0,COLUMN()-COLUMN($U$1)+1),""))</f>
        <v/>
      </c>
      <c r="AA32" s="11" t="str" cm="1">
        <f t="array" ref="AA32">IF($T32="","",_xlfn.XLOOKUP(TRIM($T32),ISE!$L:$L,INDEX(ISE!$N:$T,0,COLUMN()-COLUMN($U$1)+1),""))</f>
        <v/>
      </c>
    </row>
    <row r="33" spans="2:27" ht="15" customHeight="1">
      <c r="B33" s="82" t="s">
        <v>237</v>
      </c>
      <c r="C33" s="89"/>
      <c r="D33" s="83"/>
      <c r="E33" s="83"/>
      <c r="F33" s="83"/>
      <c r="G33" s="83"/>
      <c r="H33" s="83"/>
      <c r="I33" s="83"/>
      <c r="J33" s="4"/>
      <c r="K33" s="81"/>
      <c r="L33" s="57"/>
      <c r="M33" s="57"/>
      <c r="N33" s="57"/>
      <c r="O33" s="57"/>
      <c r="P33" s="57"/>
      <c r="Q33" s="57"/>
      <c r="R33" s="57"/>
      <c r="U33" s="11" t="str" cm="1">
        <f t="array" ref="U33">IF($T33="","",_xlfn.XLOOKUP(TRIM($T33),ISE!$L:$L,INDEX(ISE!$N:$T,0,COLUMN()-COLUMN($U$1)+1),""))</f>
        <v/>
      </c>
      <c r="V33" s="11" t="str" cm="1">
        <f t="array" ref="V33">IF($T33="","",_xlfn.XLOOKUP(TRIM($T33),ISE!$L:$L,INDEX(ISE!$N:$T,0,COLUMN()-COLUMN($U$1)+1),""))</f>
        <v/>
      </c>
      <c r="W33" s="11" t="str" cm="1">
        <f t="array" ref="W33">IF($T33="","",_xlfn.XLOOKUP(TRIM($T33),ISE!$L:$L,INDEX(ISE!$N:$T,0,COLUMN()-COLUMN($U$1)+1),""))</f>
        <v/>
      </c>
      <c r="X33" s="11" t="str" cm="1">
        <f t="array" ref="X33">IF($T33="","",_xlfn.XLOOKUP(TRIM($T33),ISE!$L:$L,INDEX(ISE!$N:$T,0,COLUMN()-COLUMN($U$1)+1),""))</f>
        <v/>
      </c>
      <c r="Y33" s="11" t="str" cm="1">
        <f t="array" ref="Y33">IF($T33="","",_xlfn.XLOOKUP(TRIM($T33),ISE!$L:$L,INDEX(ISE!$N:$T,0,COLUMN()-COLUMN($U$1)+1),""))</f>
        <v/>
      </c>
      <c r="Z33" s="11" t="str" cm="1">
        <f t="array" ref="Z33">IF($T33="","",_xlfn.XLOOKUP(TRIM($T33),ISE!$L:$L,INDEX(ISE!$N:$T,0,COLUMN()-COLUMN($U$1)+1),""))</f>
        <v/>
      </c>
      <c r="AA33" s="11" t="str" cm="1">
        <f t="array" ref="AA33">IF($T33="","",_xlfn.XLOOKUP(TRIM($T33),ISE!$L:$L,INDEX(ISE!$N:$T,0,COLUMN()-COLUMN($U$1)+1),""))</f>
        <v/>
      </c>
    </row>
    <row r="34" spans="2:27" ht="15.75" customHeight="1">
      <c r="B34" s="63"/>
      <c r="C34" s="64"/>
      <c r="D34" s="64"/>
      <c r="E34" s="64"/>
      <c r="F34" s="64"/>
      <c r="G34" s="64"/>
      <c r="H34" s="64"/>
      <c r="I34" s="90"/>
      <c r="J34" s="4"/>
      <c r="K34" s="81"/>
      <c r="L34" s="57"/>
      <c r="M34" s="57"/>
      <c r="N34" s="57"/>
      <c r="O34" s="57"/>
      <c r="P34" s="57"/>
      <c r="Q34" s="57"/>
      <c r="R34" s="57"/>
      <c r="U34" s="11" t="str" cm="1">
        <f t="array" ref="U34">IF($T34="","",_xlfn.XLOOKUP(TRIM($T34),ISE!$L:$L,INDEX(ISE!$N:$T,0,COLUMN()-COLUMN($U$1)+1),""))</f>
        <v/>
      </c>
      <c r="V34" s="11" t="str" cm="1">
        <f t="array" ref="V34">IF($T34="","",_xlfn.XLOOKUP(TRIM($T34),ISE!$L:$L,INDEX(ISE!$N:$T,0,COLUMN()-COLUMN($U$1)+1),""))</f>
        <v/>
      </c>
      <c r="W34" s="11" t="str" cm="1">
        <f t="array" ref="W34">IF($T34="","",_xlfn.XLOOKUP(TRIM($T34),ISE!$L:$L,INDEX(ISE!$N:$T,0,COLUMN()-COLUMN($U$1)+1),""))</f>
        <v/>
      </c>
      <c r="X34" s="11" t="str" cm="1">
        <f t="array" ref="X34">IF($T34="","",_xlfn.XLOOKUP(TRIM($T34),ISE!$L:$L,INDEX(ISE!$N:$T,0,COLUMN()-COLUMN($U$1)+1),""))</f>
        <v/>
      </c>
      <c r="Y34" s="11" t="str" cm="1">
        <f t="array" ref="Y34">IF($T34="","",_xlfn.XLOOKUP(TRIM($T34),ISE!$L:$L,INDEX(ISE!$N:$T,0,COLUMN()-COLUMN($U$1)+1),""))</f>
        <v/>
      </c>
      <c r="Z34" s="11" t="str" cm="1">
        <f t="array" ref="Z34">IF($T34="","",_xlfn.XLOOKUP(TRIM($T34),ISE!$L:$L,INDEX(ISE!$N:$T,0,COLUMN()-COLUMN($U$1)+1),""))</f>
        <v/>
      </c>
      <c r="AA34" s="11" t="str" cm="1">
        <f t="array" ref="AA34">IF($T34="","",_xlfn.XLOOKUP(TRIM($T34),ISE!$L:$L,INDEX(ISE!$N:$T,0,COLUMN()-COLUMN($U$1)+1),""))</f>
        <v/>
      </c>
    </row>
    <row r="35" spans="2:27" ht="15.75" customHeight="1">
      <c r="B35" s="65" t="s">
        <v>222</v>
      </c>
      <c r="C35" s="91">
        <f>SUM(C28:C33)</f>
        <v>7917.6440000000002</v>
      </c>
      <c r="D35" s="91">
        <f>SUM(D28:D33)</f>
        <v>5132.7179999999998</v>
      </c>
      <c r="E35" s="91">
        <f t="shared" ref="E35:I35" si="22">SUM(E28:E33)</f>
        <v>5829.8779999999997</v>
      </c>
      <c r="F35" s="91">
        <f t="shared" si="22"/>
        <v>6037.924</v>
      </c>
      <c r="G35" s="91">
        <f t="shared" si="22"/>
        <v>8000.3099999999995</v>
      </c>
      <c r="H35" s="91">
        <f t="shared" si="22"/>
        <v>8007.1459999999997</v>
      </c>
      <c r="I35" s="91">
        <f t="shared" si="22"/>
        <v>7008.1880000000001</v>
      </c>
      <c r="J35" s="4"/>
      <c r="K35" s="92" t="str">
        <f>B35</f>
        <v>Totals</v>
      </c>
      <c r="L35" s="68">
        <f>IFERROR(C35/C$35,0)</f>
        <v>1</v>
      </c>
      <c r="M35" s="68">
        <f t="shared" ref="M35:R35" si="23">IFERROR(D35/D$35,0)</f>
        <v>1</v>
      </c>
      <c r="N35" s="68">
        <f t="shared" si="23"/>
        <v>1</v>
      </c>
      <c r="O35" s="68">
        <f t="shared" si="23"/>
        <v>1</v>
      </c>
      <c r="P35" s="68">
        <f t="shared" si="23"/>
        <v>1</v>
      </c>
      <c r="Q35" s="68">
        <f t="shared" si="23"/>
        <v>1</v>
      </c>
      <c r="R35" s="68">
        <f t="shared" si="23"/>
        <v>1</v>
      </c>
      <c r="U35" s="11" t="str" cm="1">
        <f t="array" ref="U35">IF($T35="","",_xlfn.XLOOKUP(TRIM($T35),ISE!$L:$L,INDEX(ISE!$N:$T,0,COLUMN()-COLUMN($U$1)+1),""))</f>
        <v/>
      </c>
      <c r="V35" s="11" t="str" cm="1">
        <f t="array" ref="V35">IF($T35="","",_xlfn.XLOOKUP(TRIM($T35),ISE!$L:$L,INDEX(ISE!$N:$T,0,COLUMN()-COLUMN($U$1)+1),""))</f>
        <v/>
      </c>
      <c r="W35" s="11" t="str" cm="1">
        <f t="array" ref="W35">IF($T35="","",_xlfn.XLOOKUP(TRIM($T35),ISE!$L:$L,INDEX(ISE!$N:$T,0,COLUMN()-COLUMN($U$1)+1),""))</f>
        <v/>
      </c>
      <c r="X35" s="11" t="str" cm="1">
        <f t="array" ref="X35">IF($T35="","",_xlfn.XLOOKUP(TRIM($T35),ISE!$L:$L,INDEX(ISE!$N:$T,0,COLUMN()-COLUMN($U$1)+1),""))</f>
        <v/>
      </c>
      <c r="Y35" s="11" t="str" cm="1">
        <f t="array" ref="Y35">IF($T35="","",_xlfn.XLOOKUP(TRIM($T35),ISE!$L:$L,INDEX(ISE!$N:$T,0,COLUMN()-COLUMN($U$1)+1),""))</f>
        <v/>
      </c>
      <c r="Z35" s="11" t="str" cm="1">
        <f t="array" ref="Z35">IF($T35="","",_xlfn.XLOOKUP(TRIM($T35),ISE!$L:$L,INDEX(ISE!$N:$T,0,COLUMN()-COLUMN($U$1)+1),""))</f>
        <v/>
      </c>
      <c r="AA35" s="11" t="str" cm="1">
        <f t="array" ref="AA35">IF($T35="","",_xlfn.XLOOKUP(TRIM($T35),ISE!$L:$L,INDEX(ISE!$N:$T,0,COLUMN()-COLUMN($U$1)+1),""))</f>
        <v/>
      </c>
    </row>
    <row r="36" spans="2:27" ht="15.75" customHeight="1">
      <c r="B36" s="46"/>
      <c r="C36" s="7">
        <f t="shared" ref="C36:I36" si="24">IF(C35=C24, 1, 0)</f>
        <v>0</v>
      </c>
      <c r="D36" s="7">
        <f t="shared" si="24"/>
        <v>0</v>
      </c>
      <c r="E36" s="7">
        <f t="shared" si="24"/>
        <v>0</v>
      </c>
      <c r="F36" s="7">
        <f t="shared" si="24"/>
        <v>0</v>
      </c>
      <c r="G36" s="7">
        <f t="shared" si="24"/>
        <v>0</v>
      </c>
      <c r="H36" s="7">
        <f t="shared" si="24"/>
        <v>0</v>
      </c>
      <c r="I36" s="7">
        <f t="shared" si="24"/>
        <v>0</v>
      </c>
      <c r="J36" s="3"/>
      <c r="K36" s="93"/>
      <c r="U36" s="11" t="str" cm="1">
        <f t="array" ref="U36">IF($T36="","",_xlfn.XLOOKUP(TRIM($T36),ISE!$L:$L,INDEX(ISE!$N:$T,0,COLUMN()-COLUMN($U$1)+1),""))</f>
        <v/>
      </c>
      <c r="V36" s="11" t="str" cm="1">
        <f t="array" ref="V36">IF($T36="","",_xlfn.XLOOKUP(TRIM($T36),ISE!$L:$L,INDEX(ISE!$N:$T,0,COLUMN()-COLUMN($U$1)+1),""))</f>
        <v/>
      </c>
      <c r="W36" s="11" t="str" cm="1">
        <f t="array" ref="W36">IF($T36="","",_xlfn.XLOOKUP(TRIM($T36),ISE!$L:$L,INDEX(ISE!$N:$T,0,COLUMN()-COLUMN($U$1)+1),""))</f>
        <v/>
      </c>
      <c r="X36" s="11" t="str" cm="1">
        <f t="array" ref="X36">IF($T36="","",_xlfn.XLOOKUP(TRIM($T36),ISE!$L:$L,INDEX(ISE!$N:$T,0,COLUMN()-COLUMN($U$1)+1),""))</f>
        <v/>
      </c>
      <c r="Y36" s="11" t="str" cm="1">
        <f t="array" ref="Y36">IF($T36="","",_xlfn.XLOOKUP(TRIM($T36),ISE!$L:$L,INDEX(ISE!$N:$T,0,COLUMN()-COLUMN($U$1)+1),""))</f>
        <v/>
      </c>
      <c r="Z36" s="11" t="str" cm="1">
        <f t="array" ref="Z36">IF($T36="","",_xlfn.XLOOKUP(TRIM($T36),ISE!$L:$L,INDEX(ISE!$N:$T,0,COLUMN()-COLUMN($U$1)+1),""))</f>
        <v/>
      </c>
      <c r="AA36" s="11" t="str" cm="1">
        <f t="array" ref="AA36">IF($T36="","",_xlfn.XLOOKUP(TRIM($T36),ISE!$L:$L,INDEX(ISE!$N:$T,0,COLUMN()-COLUMN($U$1)+1),""))</f>
        <v/>
      </c>
    </row>
    <row r="37" spans="2:27" ht="15.75" customHeight="1">
      <c r="U37" s="11" t="str" cm="1">
        <f t="array" ref="U37">IF($T37="","",_xlfn.XLOOKUP(TRIM($T37),ISE!$L:$L,INDEX(ISE!$N:$T,0,COLUMN()-COLUMN($U$1)+1),""))</f>
        <v/>
      </c>
      <c r="V37" s="11" t="str" cm="1">
        <f t="array" ref="V37">IF($T37="","",_xlfn.XLOOKUP(TRIM($T37),ISE!$L:$L,INDEX(ISE!$N:$T,0,COLUMN()-COLUMN($U$1)+1),""))</f>
        <v/>
      </c>
      <c r="W37" s="11" t="str" cm="1">
        <f t="array" ref="W37">IF($T37="","",_xlfn.XLOOKUP(TRIM($T37),ISE!$L:$L,INDEX(ISE!$N:$T,0,COLUMN()-COLUMN($U$1)+1),""))</f>
        <v/>
      </c>
      <c r="X37" s="11" t="str" cm="1">
        <f t="array" ref="X37">IF($T37="","",_xlfn.XLOOKUP(TRIM($T37),ISE!$L:$L,INDEX(ISE!$N:$T,0,COLUMN()-COLUMN($U$1)+1),""))</f>
        <v/>
      </c>
      <c r="Y37" s="11" t="str" cm="1">
        <f t="array" ref="Y37">IF($T37="","",_xlfn.XLOOKUP(TRIM($T37),ISE!$L:$L,INDEX(ISE!$N:$T,0,COLUMN()-COLUMN($U$1)+1),""))</f>
        <v/>
      </c>
      <c r="Z37" s="11" t="str" cm="1">
        <f t="array" ref="Z37">IF($T37="","",_xlfn.XLOOKUP(TRIM($T37),ISE!$L:$L,INDEX(ISE!$N:$T,0,COLUMN()-COLUMN($U$1)+1),""))</f>
        <v/>
      </c>
      <c r="AA37" s="11" t="str" cm="1">
        <f t="array" ref="AA37">IF($T37="","",_xlfn.XLOOKUP(TRIM($T37),ISE!$L:$L,INDEX(ISE!$N:$T,0,COLUMN()-COLUMN($U$1)+1),""))</f>
        <v/>
      </c>
    </row>
    <row r="38" spans="2:27" ht="15.75" customHeight="1">
      <c r="U38" s="11" t="str" cm="1">
        <f t="array" ref="U38">IF($T38="","",_xlfn.XLOOKUP(TRIM($T38),ISE!$L:$L,INDEX(ISE!$N:$T,0,COLUMN()-COLUMN($U$1)+1),""))</f>
        <v/>
      </c>
      <c r="V38" s="11" t="str" cm="1">
        <f t="array" ref="V38">IF($T38="","",_xlfn.XLOOKUP(TRIM($T38),ISE!$L:$L,INDEX(ISE!$N:$T,0,COLUMN()-COLUMN($U$1)+1),""))</f>
        <v/>
      </c>
      <c r="W38" s="11" t="str" cm="1">
        <f t="array" ref="W38">IF($T38="","",_xlfn.XLOOKUP(TRIM($T38),ISE!$L:$L,INDEX(ISE!$N:$T,0,COLUMN()-COLUMN($U$1)+1),""))</f>
        <v/>
      </c>
      <c r="X38" s="11" t="str" cm="1">
        <f t="array" ref="X38">IF($T38="","",_xlfn.XLOOKUP(TRIM($T38),ISE!$L:$L,INDEX(ISE!$N:$T,0,COLUMN()-COLUMN($U$1)+1),""))</f>
        <v/>
      </c>
      <c r="Y38" s="11" t="str" cm="1">
        <f t="array" ref="Y38">IF($T38="","",_xlfn.XLOOKUP(TRIM($T38),ISE!$L:$L,INDEX(ISE!$N:$T,0,COLUMN()-COLUMN($U$1)+1),""))</f>
        <v/>
      </c>
      <c r="Z38" s="11" t="str" cm="1">
        <f t="array" ref="Z38">IF($T38="","",_xlfn.XLOOKUP(TRIM($T38),ISE!$L:$L,INDEX(ISE!$N:$T,0,COLUMN()-COLUMN($U$1)+1),""))</f>
        <v/>
      </c>
      <c r="AA38" s="11" t="str" cm="1">
        <f t="array" ref="AA38">IF($T38="","",_xlfn.XLOOKUP(TRIM($T38),ISE!$L:$L,INDEX(ISE!$N:$T,0,COLUMN()-COLUMN($U$1)+1),""))</f>
        <v/>
      </c>
    </row>
    <row r="39" spans="2:27" ht="15.75" customHeight="1">
      <c r="K39" s="128" t="s">
        <v>238</v>
      </c>
      <c r="L39" s="129"/>
      <c r="M39" s="129"/>
      <c r="N39" s="129"/>
      <c r="O39" s="129"/>
      <c r="P39" s="129"/>
      <c r="Q39" s="129"/>
      <c r="R39" s="129"/>
      <c r="S39" s="129"/>
      <c r="U39" s="11" t="str" cm="1">
        <f t="array" ref="U39">IF($T39="","",_xlfn.XLOOKUP(TRIM($T39),ISE!$L:$L,INDEX(ISE!$N:$T,0,COLUMN()-COLUMN($U$1)+1),""))</f>
        <v/>
      </c>
      <c r="V39" s="11" t="str" cm="1">
        <f t="array" ref="V39">IF($T39="","",_xlfn.XLOOKUP(TRIM($T39),ISE!$L:$L,INDEX(ISE!$N:$T,0,COLUMN()-COLUMN($U$1)+1),""))</f>
        <v/>
      </c>
      <c r="W39" s="11" t="str" cm="1">
        <f t="array" ref="W39">IF($T39="","",_xlfn.XLOOKUP(TRIM($T39),ISE!$L:$L,INDEX(ISE!$N:$T,0,COLUMN()-COLUMN($U$1)+1),""))</f>
        <v/>
      </c>
      <c r="X39" s="11" t="str" cm="1">
        <f t="array" ref="X39">IF($T39="","",_xlfn.XLOOKUP(TRIM($T39),ISE!$L:$L,INDEX(ISE!$N:$T,0,COLUMN()-COLUMN($U$1)+1),""))</f>
        <v/>
      </c>
      <c r="Y39" s="11" t="str" cm="1">
        <f t="array" ref="Y39">IF($T39="","",_xlfn.XLOOKUP(TRIM($T39),ISE!$L:$L,INDEX(ISE!$N:$T,0,COLUMN()-COLUMN($U$1)+1),""))</f>
        <v/>
      </c>
      <c r="Z39" s="11" t="str" cm="1">
        <f t="array" ref="Z39">IF($T39="","",_xlfn.XLOOKUP(TRIM($T39),ISE!$L:$L,INDEX(ISE!$N:$T,0,COLUMN()-COLUMN($U$1)+1),""))</f>
        <v/>
      </c>
      <c r="AA39" s="11" t="str" cm="1">
        <f t="array" ref="AA39">IF($T39="","",_xlfn.XLOOKUP(TRIM($T39),ISE!$L:$L,INDEX(ISE!$N:$T,0,COLUMN()-COLUMN($U$1)+1),""))</f>
        <v/>
      </c>
    </row>
    <row r="40" spans="2:27" ht="15.75" customHeight="1">
      <c r="U40" s="11" t="str" cm="1">
        <f t="array" ref="U40">IF($T40="","",_xlfn.XLOOKUP(TRIM($T40),ISE!$L:$L,INDEX(ISE!$N:$T,0,COLUMN()-COLUMN($U$1)+1),""))</f>
        <v/>
      </c>
      <c r="V40" s="11" t="str" cm="1">
        <f t="array" ref="V40">IF($T40="","",_xlfn.XLOOKUP(TRIM($T40),ISE!$L:$L,INDEX(ISE!$N:$T,0,COLUMN()-COLUMN($U$1)+1),""))</f>
        <v/>
      </c>
      <c r="W40" s="11" t="str" cm="1">
        <f t="array" ref="W40">IF($T40="","",_xlfn.XLOOKUP(TRIM($T40),ISE!$L:$L,INDEX(ISE!$N:$T,0,COLUMN()-COLUMN($U$1)+1),""))</f>
        <v/>
      </c>
      <c r="X40" s="11" t="str" cm="1">
        <f t="array" ref="X40">IF($T40="","",_xlfn.XLOOKUP(TRIM($T40),ISE!$L:$L,INDEX(ISE!$N:$T,0,COLUMN()-COLUMN($U$1)+1),""))</f>
        <v/>
      </c>
      <c r="Y40" s="11" t="str" cm="1">
        <f t="array" ref="Y40">IF($T40="","",_xlfn.XLOOKUP(TRIM($T40),ISE!$L:$L,INDEX(ISE!$N:$T,0,COLUMN()-COLUMN($U$1)+1),""))</f>
        <v/>
      </c>
      <c r="Z40" s="11" t="str" cm="1">
        <f t="array" ref="Z40">IF($T40="","",_xlfn.XLOOKUP(TRIM($T40),ISE!$L:$L,INDEX(ISE!$N:$T,0,COLUMN()-COLUMN($U$1)+1),""))</f>
        <v/>
      </c>
      <c r="AA40" s="11" t="str" cm="1">
        <f t="array" ref="AA40">IF($T40="","",_xlfn.XLOOKUP(TRIM($T40),ISE!$L:$L,INDEX(ISE!$N:$T,0,COLUMN()-COLUMN($U$1)+1),""))</f>
        <v/>
      </c>
    </row>
    <row r="41" spans="2:27" ht="15.75" customHeight="1">
      <c r="U41" s="11" t="str" cm="1">
        <f t="array" ref="U41">IF($T41="","",_xlfn.XLOOKUP(TRIM($T41),ISE!$L:$L,INDEX(ISE!$N:$T,0,COLUMN()-COLUMN($U$1)+1),""))</f>
        <v/>
      </c>
      <c r="V41" s="11" t="str" cm="1">
        <f t="array" ref="V41">IF($T41="","",_xlfn.XLOOKUP(TRIM($T41),ISE!$L:$L,INDEX(ISE!$N:$T,0,COLUMN()-COLUMN($U$1)+1),""))</f>
        <v/>
      </c>
      <c r="W41" s="11" t="str" cm="1">
        <f t="array" ref="W41">IF($T41="","",_xlfn.XLOOKUP(TRIM($T41),ISE!$L:$L,INDEX(ISE!$N:$T,0,COLUMN()-COLUMN($U$1)+1),""))</f>
        <v/>
      </c>
      <c r="X41" s="11" t="str" cm="1">
        <f t="array" ref="X41">IF($T41="","",_xlfn.XLOOKUP(TRIM($T41),ISE!$L:$L,INDEX(ISE!$N:$T,0,COLUMN()-COLUMN($U$1)+1),""))</f>
        <v/>
      </c>
      <c r="Y41" s="11" t="str" cm="1">
        <f t="array" ref="Y41">IF($T41="","",_xlfn.XLOOKUP(TRIM($T41),ISE!$L:$L,INDEX(ISE!$N:$T,0,COLUMN()-COLUMN($U$1)+1),""))</f>
        <v/>
      </c>
      <c r="Z41" s="11" t="str" cm="1">
        <f t="array" ref="Z41">IF($T41="","",_xlfn.XLOOKUP(TRIM($T41),ISE!$L:$L,INDEX(ISE!$N:$T,0,COLUMN()-COLUMN($U$1)+1),""))</f>
        <v/>
      </c>
      <c r="AA41" s="11" t="str" cm="1">
        <f t="array" ref="AA41">IF($T41="","",_xlfn.XLOOKUP(TRIM($T41),ISE!$L:$L,INDEX(ISE!$N:$T,0,COLUMN()-COLUMN($U$1)+1),""))</f>
        <v/>
      </c>
    </row>
    <row r="42" spans="2:27" ht="15.75" customHeight="1">
      <c r="U42" s="11" t="str" cm="1">
        <f t="array" ref="U42">IF($T42="","",_xlfn.XLOOKUP(TRIM($T42),ISE!$L:$L,INDEX(ISE!$N:$T,0,COLUMN()-COLUMN($U$1)+1),""))</f>
        <v/>
      </c>
      <c r="V42" s="11" t="str" cm="1">
        <f t="array" ref="V42">IF($T42="","",_xlfn.XLOOKUP(TRIM($T42),ISE!$L:$L,INDEX(ISE!$N:$T,0,COLUMN()-COLUMN($U$1)+1),""))</f>
        <v/>
      </c>
      <c r="W42" s="11" t="str" cm="1">
        <f t="array" ref="W42">IF($T42="","",_xlfn.XLOOKUP(TRIM($T42),ISE!$L:$L,INDEX(ISE!$N:$T,0,COLUMN()-COLUMN($U$1)+1),""))</f>
        <v/>
      </c>
      <c r="X42" s="11" t="str" cm="1">
        <f t="array" ref="X42">IF($T42="","",_xlfn.XLOOKUP(TRIM($T42),ISE!$L:$L,INDEX(ISE!$N:$T,0,COLUMN()-COLUMN($U$1)+1),""))</f>
        <v/>
      </c>
      <c r="Y42" s="11" t="str" cm="1">
        <f t="array" ref="Y42">IF($T42="","",_xlfn.XLOOKUP(TRIM($T42),ISE!$L:$L,INDEX(ISE!$N:$T,0,COLUMN()-COLUMN($U$1)+1),""))</f>
        <v/>
      </c>
      <c r="Z42" s="11" t="str" cm="1">
        <f t="array" ref="Z42">IF($T42="","",_xlfn.XLOOKUP(TRIM($T42),ISE!$L:$L,INDEX(ISE!$N:$T,0,COLUMN()-COLUMN($U$1)+1),""))</f>
        <v/>
      </c>
      <c r="AA42" s="11" t="str" cm="1">
        <f t="array" ref="AA42">IF($T42="","",_xlfn.XLOOKUP(TRIM($T42),ISE!$L:$L,INDEX(ISE!$N:$T,0,COLUMN()-COLUMN($U$1)+1),""))</f>
        <v/>
      </c>
    </row>
    <row r="43" spans="2:27" ht="15.75" customHeight="1">
      <c r="U43" s="11" t="str" cm="1">
        <f t="array" ref="U43">IF($T43="","",_xlfn.XLOOKUP(TRIM($T43),ISE!$L:$L,INDEX(ISE!$N:$T,0,COLUMN()-COLUMN($U$1)+1),""))</f>
        <v/>
      </c>
      <c r="V43" s="11" t="str" cm="1">
        <f t="array" ref="V43">IF($T43="","",_xlfn.XLOOKUP(TRIM($T43),ISE!$L:$L,INDEX(ISE!$N:$T,0,COLUMN()-COLUMN($U$1)+1),""))</f>
        <v/>
      </c>
      <c r="W43" s="11" t="str" cm="1">
        <f t="array" ref="W43">IF($T43="","",_xlfn.XLOOKUP(TRIM($T43),ISE!$L:$L,INDEX(ISE!$N:$T,0,COLUMN()-COLUMN($U$1)+1),""))</f>
        <v/>
      </c>
      <c r="X43" s="11" t="str" cm="1">
        <f t="array" ref="X43">IF($T43="","",_xlfn.XLOOKUP(TRIM($T43),ISE!$L:$L,INDEX(ISE!$N:$T,0,COLUMN()-COLUMN($U$1)+1),""))</f>
        <v/>
      </c>
      <c r="Y43" s="11" t="str" cm="1">
        <f t="array" ref="Y43">IF($T43="","",_xlfn.XLOOKUP(TRIM($T43),ISE!$L:$L,INDEX(ISE!$N:$T,0,COLUMN()-COLUMN($U$1)+1),""))</f>
        <v/>
      </c>
      <c r="Z43" s="11" t="str" cm="1">
        <f t="array" ref="Z43">IF($T43="","",_xlfn.XLOOKUP(TRIM($T43),ISE!$L:$L,INDEX(ISE!$N:$T,0,COLUMN()-COLUMN($U$1)+1),""))</f>
        <v/>
      </c>
      <c r="AA43" s="11" t="str" cm="1">
        <f t="array" ref="AA43">IF($T43="","",_xlfn.XLOOKUP(TRIM($T43),ISE!$L:$L,INDEX(ISE!$N:$T,0,COLUMN()-COLUMN($U$1)+1),""))</f>
        <v/>
      </c>
    </row>
    <row r="44" spans="2:27" ht="15.75" customHeight="1">
      <c r="U44" s="11" t="str" cm="1">
        <f t="array" ref="U44">IF($T44="","",_xlfn.XLOOKUP(TRIM($T44),ISE!$L:$L,INDEX(ISE!$N:$T,0,COLUMN()-COLUMN($U$1)+1),""))</f>
        <v/>
      </c>
      <c r="V44" s="11" t="str" cm="1">
        <f t="array" ref="V44">IF($T44="","",_xlfn.XLOOKUP(TRIM($T44),ISE!$L:$L,INDEX(ISE!$N:$T,0,COLUMN()-COLUMN($U$1)+1),""))</f>
        <v/>
      </c>
      <c r="W44" s="11" t="str" cm="1">
        <f t="array" ref="W44">IF($T44="","",_xlfn.XLOOKUP(TRIM($T44),ISE!$L:$L,INDEX(ISE!$N:$T,0,COLUMN()-COLUMN($U$1)+1),""))</f>
        <v/>
      </c>
      <c r="X44" s="11" t="str" cm="1">
        <f t="array" ref="X44">IF($T44="","",_xlfn.XLOOKUP(TRIM($T44),ISE!$L:$L,INDEX(ISE!$N:$T,0,COLUMN()-COLUMN($U$1)+1),""))</f>
        <v/>
      </c>
      <c r="Y44" s="11" t="str" cm="1">
        <f t="array" ref="Y44">IF($T44="","",_xlfn.XLOOKUP(TRIM($T44),ISE!$L:$L,INDEX(ISE!$N:$T,0,COLUMN()-COLUMN($U$1)+1),""))</f>
        <v/>
      </c>
      <c r="Z44" s="11" t="str" cm="1">
        <f t="array" ref="Z44">IF($T44="","",_xlfn.XLOOKUP(TRIM($T44),ISE!$L:$L,INDEX(ISE!$N:$T,0,COLUMN()-COLUMN($U$1)+1),""))</f>
        <v/>
      </c>
      <c r="AA44" s="11" t="str" cm="1">
        <f t="array" ref="AA44">IF($T44="","",_xlfn.XLOOKUP(TRIM($T44),ISE!$L:$L,INDEX(ISE!$N:$T,0,COLUMN()-COLUMN($U$1)+1),""))</f>
        <v/>
      </c>
    </row>
    <row r="45" spans="2:27" ht="15.75" customHeight="1">
      <c r="U45" s="11" t="str" cm="1">
        <f t="array" ref="U45">IF($T45="","",_xlfn.XLOOKUP(TRIM($T45),ISE!$L:$L,INDEX(ISE!$N:$T,0,COLUMN()-COLUMN($U$1)+1),""))</f>
        <v/>
      </c>
      <c r="V45" s="11" t="str" cm="1">
        <f t="array" ref="V45">IF($T45="","",_xlfn.XLOOKUP(TRIM($T45),ISE!$L:$L,INDEX(ISE!$N:$T,0,COLUMN()-COLUMN($U$1)+1),""))</f>
        <v/>
      </c>
      <c r="W45" s="11" t="str" cm="1">
        <f t="array" ref="W45">IF($T45="","",_xlfn.XLOOKUP(TRIM($T45),ISE!$L:$L,INDEX(ISE!$N:$T,0,COLUMN()-COLUMN($U$1)+1),""))</f>
        <v/>
      </c>
      <c r="X45" s="11" t="str" cm="1">
        <f t="array" ref="X45">IF($T45="","",_xlfn.XLOOKUP(TRIM($T45),ISE!$L:$L,INDEX(ISE!$N:$T,0,COLUMN()-COLUMN($U$1)+1),""))</f>
        <v/>
      </c>
      <c r="Y45" s="11" t="str" cm="1">
        <f t="array" ref="Y45">IF($T45="","",_xlfn.XLOOKUP(TRIM($T45),ISE!$L:$L,INDEX(ISE!$N:$T,0,COLUMN()-COLUMN($U$1)+1),""))</f>
        <v/>
      </c>
      <c r="Z45" s="11" t="str" cm="1">
        <f t="array" ref="Z45">IF($T45="","",_xlfn.XLOOKUP(TRIM($T45),ISE!$L:$L,INDEX(ISE!$N:$T,0,COLUMN()-COLUMN($U$1)+1),""))</f>
        <v/>
      </c>
      <c r="AA45" s="11" t="str" cm="1">
        <f t="array" ref="AA45">IF($T45="","",_xlfn.XLOOKUP(TRIM($T45),ISE!$L:$L,INDEX(ISE!$N:$T,0,COLUMN()-COLUMN($U$1)+1),""))</f>
        <v/>
      </c>
    </row>
    <row r="46" spans="2:27" ht="15.75" customHeight="1">
      <c r="U46" s="11" t="str" cm="1">
        <f t="array" ref="U46">IF($T46="","",_xlfn.XLOOKUP(TRIM($T46),ISE!$L:$L,INDEX(ISE!$N:$T,0,COLUMN()-COLUMN($U$1)+1),""))</f>
        <v/>
      </c>
      <c r="V46" s="11" t="str" cm="1">
        <f t="array" ref="V46">IF($T46="","",_xlfn.XLOOKUP(TRIM($T46),ISE!$L:$L,INDEX(ISE!$N:$T,0,COLUMN()-COLUMN($U$1)+1),""))</f>
        <v/>
      </c>
      <c r="W46" s="11" t="str" cm="1">
        <f t="array" ref="W46">IF($T46="","",_xlfn.XLOOKUP(TRIM($T46),ISE!$L:$L,INDEX(ISE!$N:$T,0,COLUMN()-COLUMN($U$1)+1),""))</f>
        <v/>
      </c>
      <c r="X46" s="11" t="str" cm="1">
        <f t="array" ref="X46">IF($T46="","",_xlfn.XLOOKUP(TRIM($T46),ISE!$L:$L,INDEX(ISE!$N:$T,0,COLUMN()-COLUMN($U$1)+1),""))</f>
        <v/>
      </c>
      <c r="Y46" s="11" t="str" cm="1">
        <f t="array" ref="Y46">IF($T46="","",_xlfn.XLOOKUP(TRIM($T46),ISE!$L:$L,INDEX(ISE!$N:$T,0,COLUMN()-COLUMN($U$1)+1),""))</f>
        <v/>
      </c>
      <c r="Z46" s="11" t="str" cm="1">
        <f t="array" ref="Z46">IF($T46="","",_xlfn.XLOOKUP(TRIM($T46),ISE!$L:$L,INDEX(ISE!$N:$T,0,COLUMN()-COLUMN($U$1)+1),""))</f>
        <v/>
      </c>
      <c r="AA46" s="11" t="str" cm="1">
        <f t="array" ref="AA46">IF($T46="","",_xlfn.XLOOKUP(TRIM($T46),ISE!$L:$L,INDEX(ISE!$N:$T,0,COLUMN()-COLUMN($U$1)+1),""))</f>
        <v/>
      </c>
    </row>
    <row r="47" spans="2:27" ht="15.75" customHeight="1">
      <c r="U47" s="11" t="str" cm="1">
        <f t="array" ref="U47">IF($T47="","",_xlfn.XLOOKUP(TRIM($T47),ISE!$L:$L,INDEX(ISE!$N:$T,0,COLUMN()-COLUMN($U$1)+1),""))</f>
        <v/>
      </c>
      <c r="V47" s="11" t="str" cm="1">
        <f t="array" ref="V47">IF($T47="","",_xlfn.XLOOKUP(TRIM($T47),ISE!$L:$L,INDEX(ISE!$N:$T,0,COLUMN()-COLUMN($U$1)+1),""))</f>
        <v/>
      </c>
      <c r="W47" s="11" t="str" cm="1">
        <f t="array" ref="W47">IF($T47="","",_xlfn.XLOOKUP(TRIM($T47),ISE!$L:$L,INDEX(ISE!$N:$T,0,COLUMN()-COLUMN($U$1)+1),""))</f>
        <v/>
      </c>
      <c r="X47" s="11" t="str" cm="1">
        <f t="array" ref="X47">IF($T47="","",_xlfn.XLOOKUP(TRIM($T47),ISE!$L:$L,INDEX(ISE!$N:$T,0,COLUMN()-COLUMN($U$1)+1),""))</f>
        <v/>
      </c>
      <c r="Y47" s="11" t="str" cm="1">
        <f t="array" ref="Y47">IF($T47="","",_xlfn.XLOOKUP(TRIM($T47),ISE!$L:$L,INDEX(ISE!$N:$T,0,COLUMN()-COLUMN($U$1)+1),""))</f>
        <v/>
      </c>
      <c r="Z47" s="11" t="str" cm="1">
        <f t="array" ref="Z47">IF($T47="","",_xlfn.XLOOKUP(TRIM($T47),ISE!$L:$L,INDEX(ISE!$N:$T,0,COLUMN()-COLUMN($U$1)+1),""))</f>
        <v/>
      </c>
      <c r="AA47" s="11" t="str" cm="1">
        <f t="array" ref="AA47">IF($T47="","",_xlfn.XLOOKUP(TRIM($T47),ISE!$L:$L,INDEX(ISE!$N:$T,0,COLUMN()-COLUMN($U$1)+1),""))</f>
        <v/>
      </c>
    </row>
    <row r="48" spans="2:27" ht="15.75" customHeight="1">
      <c r="U48" s="11" t="str" cm="1">
        <f t="array" ref="U48">IF($T48="","",_xlfn.XLOOKUP(TRIM($T48),ISE!$L:$L,INDEX(ISE!$N:$T,0,COLUMN()-COLUMN($U$1)+1),""))</f>
        <v/>
      </c>
      <c r="V48" s="11" t="str" cm="1">
        <f t="array" ref="V48">IF($T48="","",_xlfn.XLOOKUP(TRIM($T48),ISE!$L:$L,INDEX(ISE!$N:$T,0,COLUMN()-COLUMN($U$1)+1),""))</f>
        <v/>
      </c>
      <c r="W48" s="11" t="str" cm="1">
        <f t="array" ref="W48">IF($T48="","",_xlfn.XLOOKUP(TRIM($T48),ISE!$L:$L,INDEX(ISE!$N:$T,0,COLUMN()-COLUMN($U$1)+1),""))</f>
        <v/>
      </c>
      <c r="X48" s="11" t="str" cm="1">
        <f t="array" ref="X48">IF($T48="","",_xlfn.XLOOKUP(TRIM($T48),ISE!$L:$L,INDEX(ISE!$N:$T,0,COLUMN()-COLUMN($U$1)+1),""))</f>
        <v/>
      </c>
      <c r="Y48" s="11" t="str" cm="1">
        <f t="array" ref="Y48">IF($T48="","",_xlfn.XLOOKUP(TRIM($T48),ISE!$L:$L,INDEX(ISE!$N:$T,0,COLUMN()-COLUMN($U$1)+1),""))</f>
        <v/>
      </c>
      <c r="Z48" s="11" t="str" cm="1">
        <f t="array" ref="Z48">IF($T48="","",_xlfn.XLOOKUP(TRIM($T48),ISE!$L:$L,INDEX(ISE!$N:$T,0,COLUMN()-COLUMN($U$1)+1),""))</f>
        <v/>
      </c>
      <c r="AA48" s="11" t="str" cm="1">
        <f t="array" ref="AA48">IF($T48="","",_xlfn.XLOOKUP(TRIM($T48),ISE!$L:$L,INDEX(ISE!$N:$T,0,COLUMN()-COLUMN($U$1)+1),""))</f>
        <v/>
      </c>
    </row>
    <row r="49" spans="21:27" ht="15.75" customHeight="1">
      <c r="U49" s="11" t="str" cm="1">
        <f t="array" ref="U49">IF($T49="","",_xlfn.XLOOKUP(TRIM($T49),ISE!$L:$L,INDEX(ISE!$N:$T,0,COLUMN()-COLUMN($U$1)+1),""))</f>
        <v/>
      </c>
      <c r="V49" s="11" t="str" cm="1">
        <f t="array" ref="V49">IF($T49="","",_xlfn.XLOOKUP(TRIM($T49),ISE!$L:$L,INDEX(ISE!$N:$T,0,COLUMN()-COLUMN($U$1)+1),""))</f>
        <v/>
      </c>
      <c r="W49" s="11" t="str" cm="1">
        <f t="array" ref="W49">IF($T49="","",_xlfn.XLOOKUP(TRIM($T49),ISE!$L:$L,INDEX(ISE!$N:$T,0,COLUMN()-COLUMN($U$1)+1),""))</f>
        <v/>
      </c>
      <c r="X49" s="11" t="str" cm="1">
        <f t="array" ref="X49">IF($T49="","",_xlfn.XLOOKUP(TRIM($T49),ISE!$L:$L,INDEX(ISE!$N:$T,0,COLUMN()-COLUMN($U$1)+1),""))</f>
        <v/>
      </c>
      <c r="Y49" s="11" t="str" cm="1">
        <f t="array" ref="Y49">IF($T49="","",_xlfn.XLOOKUP(TRIM($T49),ISE!$L:$L,INDEX(ISE!$N:$T,0,COLUMN()-COLUMN($U$1)+1),""))</f>
        <v/>
      </c>
      <c r="Z49" s="11" t="str" cm="1">
        <f t="array" ref="Z49">IF($T49="","",_xlfn.XLOOKUP(TRIM($T49),ISE!$L:$L,INDEX(ISE!$N:$T,0,COLUMN()-COLUMN($U$1)+1),""))</f>
        <v/>
      </c>
      <c r="AA49" s="11" t="str" cm="1">
        <f t="array" ref="AA49">IF($T49="","",_xlfn.XLOOKUP(TRIM($T49),ISE!$L:$L,INDEX(ISE!$N:$T,0,COLUMN()-COLUMN($U$1)+1),""))</f>
        <v/>
      </c>
    </row>
    <row r="50" spans="21:27" ht="15.75" customHeight="1">
      <c r="U50" s="11" t="str" cm="1">
        <f t="array" ref="U50">IF($T50="","",_xlfn.XLOOKUP(TRIM($T50),ISE!$L:$L,INDEX(ISE!$N:$T,0,COLUMN()-COLUMN($U$1)+1),""))</f>
        <v/>
      </c>
      <c r="V50" s="11" t="str" cm="1">
        <f t="array" ref="V50">IF($T50="","",_xlfn.XLOOKUP(TRIM($T50),ISE!$L:$L,INDEX(ISE!$N:$T,0,COLUMN()-COLUMN($U$1)+1),""))</f>
        <v/>
      </c>
      <c r="W50" s="11" t="str" cm="1">
        <f t="array" ref="W50">IF($T50="","",_xlfn.XLOOKUP(TRIM($T50),ISE!$L:$L,INDEX(ISE!$N:$T,0,COLUMN()-COLUMN($U$1)+1),""))</f>
        <v/>
      </c>
      <c r="X50" s="11" t="str" cm="1">
        <f t="array" ref="X50">IF($T50="","",_xlfn.XLOOKUP(TRIM($T50),ISE!$L:$L,INDEX(ISE!$N:$T,0,COLUMN()-COLUMN($U$1)+1),""))</f>
        <v/>
      </c>
      <c r="Y50" s="11" t="str" cm="1">
        <f t="array" ref="Y50">IF($T50="","",_xlfn.XLOOKUP(TRIM($T50),ISE!$L:$L,INDEX(ISE!$N:$T,0,COLUMN()-COLUMN($U$1)+1),""))</f>
        <v/>
      </c>
      <c r="Z50" s="11" t="str" cm="1">
        <f t="array" ref="Z50">IF($T50="","",_xlfn.XLOOKUP(TRIM($T50),ISE!$L:$L,INDEX(ISE!$N:$T,0,COLUMN()-COLUMN($U$1)+1),""))</f>
        <v/>
      </c>
      <c r="AA50" s="11" t="str" cm="1">
        <f t="array" ref="AA50">IF($T50="","",_xlfn.XLOOKUP(TRIM($T50),ISE!$L:$L,INDEX(ISE!$N:$T,0,COLUMN()-COLUMN($U$1)+1),""))</f>
        <v/>
      </c>
    </row>
    <row r="51" spans="21:27" ht="15.75" customHeight="1">
      <c r="U51" s="11" t="str" cm="1">
        <f t="array" ref="U51">IF($T51="","",_xlfn.XLOOKUP(TRIM($T51),ISE!$L:$L,INDEX(ISE!$N:$T,0,COLUMN()-COLUMN($U$1)+1),""))</f>
        <v/>
      </c>
      <c r="V51" s="11" t="str" cm="1">
        <f t="array" ref="V51">IF($T51="","",_xlfn.XLOOKUP(TRIM($T51),ISE!$L:$L,INDEX(ISE!$N:$T,0,COLUMN()-COLUMN($U$1)+1),""))</f>
        <v/>
      </c>
      <c r="W51" s="11" t="str" cm="1">
        <f t="array" ref="W51">IF($T51="","",_xlfn.XLOOKUP(TRIM($T51),ISE!$L:$L,INDEX(ISE!$N:$T,0,COLUMN()-COLUMN($U$1)+1),""))</f>
        <v/>
      </c>
      <c r="X51" s="11" t="str" cm="1">
        <f t="array" ref="X51">IF($T51="","",_xlfn.XLOOKUP(TRIM($T51),ISE!$L:$L,INDEX(ISE!$N:$T,0,COLUMN()-COLUMN($U$1)+1),""))</f>
        <v/>
      </c>
      <c r="Y51" s="11" t="str" cm="1">
        <f t="array" ref="Y51">IF($T51="","",_xlfn.XLOOKUP(TRIM($T51),ISE!$L:$L,INDEX(ISE!$N:$T,0,COLUMN()-COLUMN($U$1)+1),""))</f>
        <v/>
      </c>
      <c r="Z51" s="11" t="str" cm="1">
        <f t="array" ref="Z51">IF($T51="","",_xlfn.XLOOKUP(TRIM($T51),ISE!$L:$L,INDEX(ISE!$N:$T,0,COLUMN()-COLUMN($U$1)+1),""))</f>
        <v/>
      </c>
      <c r="AA51" s="11" t="str" cm="1">
        <f t="array" ref="AA51">IF($T51="","",_xlfn.XLOOKUP(TRIM($T51),ISE!$L:$L,INDEX(ISE!$N:$T,0,COLUMN()-COLUMN($U$1)+1),""))</f>
        <v/>
      </c>
    </row>
    <row r="52" spans="21:27" ht="15.75" customHeight="1">
      <c r="U52" s="11" t="str" cm="1">
        <f t="array" ref="U52">IF($T52="","",_xlfn.XLOOKUP(TRIM($T52),ISE!$L:$L,INDEX(ISE!$N:$T,0,COLUMN()-COLUMN($U$1)+1),""))</f>
        <v/>
      </c>
      <c r="V52" s="11" t="str" cm="1">
        <f t="array" ref="V52">IF($T52="","",_xlfn.XLOOKUP(TRIM($T52),ISE!$L:$L,INDEX(ISE!$N:$T,0,COLUMN()-COLUMN($U$1)+1),""))</f>
        <v/>
      </c>
      <c r="W52" s="11" t="str" cm="1">
        <f t="array" ref="W52">IF($T52="","",_xlfn.XLOOKUP(TRIM($T52),ISE!$L:$L,INDEX(ISE!$N:$T,0,COLUMN()-COLUMN($U$1)+1),""))</f>
        <v/>
      </c>
      <c r="X52" s="11" t="str" cm="1">
        <f t="array" ref="X52">IF($T52="","",_xlfn.XLOOKUP(TRIM($T52),ISE!$L:$L,INDEX(ISE!$N:$T,0,COLUMN()-COLUMN($U$1)+1),""))</f>
        <v/>
      </c>
      <c r="Y52" s="11" t="str" cm="1">
        <f t="array" ref="Y52">IF($T52="","",_xlfn.XLOOKUP(TRIM($T52),ISE!$L:$L,INDEX(ISE!$N:$T,0,COLUMN()-COLUMN($U$1)+1),""))</f>
        <v/>
      </c>
      <c r="Z52" s="11" t="str" cm="1">
        <f t="array" ref="Z52">IF($T52="","",_xlfn.XLOOKUP(TRIM($T52),ISE!$L:$L,INDEX(ISE!$N:$T,0,COLUMN()-COLUMN($U$1)+1),""))</f>
        <v/>
      </c>
      <c r="AA52" s="11" t="str" cm="1">
        <f t="array" ref="AA52">IF($T52="","",_xlfn.XLOOKUP(TRIM($T52),ISE!$L:$L,INDEX(ISE!$N:$T,0,COLUMN()-COLUMN($U$1)+1),""))</f>
        <v/>
      </c>
    </row>
    <row r="53" spans="21:27" ht="15.75" customHeight="1">
      <c r="U53" s="11" t="str" cm="1">
        <f t="array" ref="U53">IF($T53="","",_xlfn.XLOOKUP(TRIM($T53),ISE!$L:$L,INDEX(ISE!$N:$T,0,COLUMN()-COLUMN($U$1)+1),""))</f>
        <v/>
      </c>
      <c r="V53" s="11" t="str" cm="1">
        <f t="array" ref="V53">IF($T53="","",_xlfn.XLOOKUP(TRIM($T53),ISE!$L:$L,INDEX(ISE!$N:$T,0,COLUMN()-COLUMN($U$1)+1),""))</f>
        <v/>
      </c>
      <c r="W53" s="11" t="str" cm="1">
        <f t="array" ref="W53">IF($T53="","",_xlfn.XLOOKUP(TRIM($T53),ISE!$L:$L,INDEX(ISE!$N:$T,0,COLUMN()-COLUMN($U$1)+1),""))</f>
        <v/>
      </c>
      <c r="X53" s="11" t="str" cm="1">
        <f t="array" ref="X53">IF($T53="","",_xlfn.XLOOKUP(TRIM($T53),ISE!$L:$L,INDEX(ISE!$N:$T,0,COLUMN()-COLUMN($U$1)+1),""))</f>
        <v/>
      </c>
      <c r="Y53" s="11" t="str" cm="1">
        <f t="array" ref="Y53">IF($T53="","",_xlfn.XLOOKUP(TRIM($T53),ISE!$L:$L,INDEX(ISE!$N:$T,0,COLUMN()-COLUMN($U$1)+1),""))</f>
        <v/>
      </c>
      <c r="Z53" s="11" t="str" cm="1">
        <f t="array" ref="Z53">IF($T53="","",_xlfn.XLOOKUP(TRIM($T53),ISE!$L:$L,INDEX(ISE!$N:$T,0,COLUMN()-COLUMN($U$1)+1),""))</f>
        <v/>
      </c>
      <c r="AA53" s="11" t="str" cm="1">
        <f t="array" ref="AA53">IF($T53="","",_xlfn.XLOOKUP(TRIM($T53),ISE!$L:$L,INDEX(ISE!$N:$T,0,COLUMN()-COLUMN($U$1)+1),""))</f>
        <v/>
      </c>
    </row>
    <row r="54" spans="21:27" ht="15.75" customHeight="1">
      <c r="U54" s="11" t="str" cm="1">
        <f t="array" ref="U54">IF($T54="","",_xlfn.XLOOKUP(TRIM($T54),ISE!$L:$L,INDEX(ISE!$N:$T,0,COLUMN()-COLUMN($U$1)+1),""))</f>
        <v/>
      </c>
      <c r="V54" s="11" t="str" cm="1">
        <f t="array" ref="V54">IF($T54="","",_xlfn.XLOOKUP(TRIM($T54),ISE!$L:$L,INDEX(ISE!$N:$T,0,COLUMN()-COLUMN($U$1)+1),""))</f>
        <v/>
      </c>
      <c r="W54" s="11" t="str" cm="1">
        <f t="array" ref="W54">IF($T54="","",_xlfn.XLOOKUP(TRIM($T54),ISE!$L:$L,INDEX(ISE!$N:$T,0,COLUMN()-COLUMN($U$1)+1),""))</f>
        <v/>
      </c>
      <c r="X54" s="11" t="str" cm="1">
        <f t="array" ref="X54">IF($T54="","",_xlfn.XLOOKUP(TRIM($T54),ISE!$L:$L,INDEX(ISE!$N:$T,0,COLUMN()-COLUMN($U$1)+1),""))</f>
        <v/>
      </c>
      <c r="Y54" s="11" t="str" cm="1">
        <f t="array" ref="Y54">IF($T54="","",_xlfn.XLOOKUP(TRIM($T54),ISE!$L:$L,INDEX(ISE!$N:$T,0,COLUMN()-COLUMN($U$1)+1),""))</f>
        <v/>
      </c>
      <c r="Z54" s="11" t="str" cm="1">
        <f t="array" ref="Z54">IF($T54="","",_xlfn.XLOOKUP(TRIM($T54),ISE!$L:$L,INDEX(ISE!$N:$T,0,COLUMN()-COLUMN($U$1)+1),""))</f>
        <v/>
      </c>
      <c r="AA54" s="11" t="str" cm="1">
        <f t="array" ref="AA54">IF($T54="","",_xlfn.XLOOKUP(TRIM($T54),ISE!$L:$L,INDEX(ISE!$N:$T,0,COLUMN()-COLUMN($U$1)+1),""))</f>
        <v/>
      </c>
    </row>
    <row r="55" spans="21:27" ht="15.75" customHeight="1">
      <c r="U55" s="11" t="str" cm="1">
        <f t="array" ref="U55">IF($T55="","",_xlfn.XLOOKUP(TRIM($T55),ISE!$L:$L,INDEX(ISE!$N:$T,0,COLUMN()-COLUMN($U$1)+1),""))</f>
        <v/>
      </c>
      <c r="V55" s="11" t="str" cm="1">
        <f t="array" ref="V55">IF($T55="","",_xlfn.XLOOKUP(TRIM($T55),ISE!$L:$L,INDEX(ISE!$N:$T,0,COLUMN()-COLUMN($U$1)+1),""))</f>
        <v/>
      </c>
      <c r="W55" s="11" t="str" cm="1">
        <f t="array" ref="W55">IF($T55="","",_xlfn.XLOOKUP(TRIM($T55),ISE!$L:$L,INDEX(ISE!$N:$T,0,COLUMN()-COLUMN($U$1)+1),""))</f>
        <v/>
      </c>
      <c r="X55" s="11" t="str" cm="1">
        <f t="array" ref="X55">IF($T55="","",_xlfn.XLOOKUP(TRIM($T55),ISE!$L:$L,INDEX(ISE!$N:$T,0,COLUMN()-COLUMN($U$1)+1),""))</f>
        <v/>
      </c>
      <c r="Y55" s="11" t="str" cm="1">
        <f t="array" ref="Y55">IF($T55="","",_xlfn.XLOOKUP(TRIM($T55),ISE!$L:$L,INDEX(ISE!$N:$T,0,COLUMN()-COLUMN($U$1)+1),""))</f>
        <v/>
      </c>
      <c r="Z55" s="11" t="str" cm="1">
        <f t="array" ref="Z55">IF($T55="","",_xlfn.XLOOKUP(TRIM($T55),ISE!$L:$L,INDEX(ISE!$N:$T,0,COLUMN()-COLUMN($U$1)+1),""))</f>
        <v/>
      </c>
      <c r="AA55" s="11" t="str" cm="1">
        <f t="array" ref="AA55">IF($T55="","",_xlfn.XLOOKUP(TRIM($T55),ISE!$L:$L,INDEX(ISE!$N:$T,0,COLUMN()-COLUMN($U$1)+1),""))</f>
        <v/>
      </c>
    </row>
    <row r="56" spans="21:27" ht="15.75" customHeight="1">
      <c r="U56" s="11" t="str" cm="1">
        <f t="array" ref="U56">IF($T56="","",_xlfn.XLOOKUP(TRIM($T56),ISE!$L:$L,INDEX(ISE!$N:$T,0,COLUMN()-COLUMN($U$1)+1),""))</f>
        <v/>
      </c>
      <c r="V56" s="11" t="str" cm="1">
        <f t="array" ref="V56">IF($T56="","",_xlfn.XLOOKUP(TRIM($T56),ISE!$L:$L,INDEX(ISE!$N:$T,0,COLUMN()-COLUMN($U$1)+1),""))</f>
        <v/>
      </c>
      <c r="W56" s="11" t="str" cm="1">
        <f t="array" ref="W56">IF($T56="","",_xlfn.XLOOKUP(TRIM($T56),ISE!$L:$L,INDEX(ISE!$N:$T,0,COLUMN()-COLUMN($U$1)+1),""))</f>
        <v/>
      </c>
      <c r="X56" s="11" t="str" cm="1">
        <f t="array" ref="X56">IF($T56="","",_xlfn.XLOOKUP(TRIM($T56),ISE!$L:$L,INDEX(ISE!$N:$T,0,COLUMN()-COLUMN($U$1)+1),""))</f>
        <v/>
      </c>
      <c r="Y56" s="11" t="str" cm="1">
        <f t="array" ref="Y56">IF($T56="","",_xlfn.XLOOKUP(TRIM($T56),ISE!$L:$L,INDEX(ISE!$N:$T,0,COLUMN()-COLUMN($U$1)+1),""))</f>
        <v/>
      </c>
      <c r="Z56" s="11" t="str" cm="1">
        <f t="array" ref="Z56">IF($T56="","",_xlfn.XLOOKUP(TRIM($T56),ISE!$L:$L,INDEX(ISE!$N:$T,0,COLUMN()-COLUMN($U$1)+1),""))</f>
        <v/>
      </c>
      <c r="AA56" s="11" t="str" cm="1">
        <f t="array" ref="AA56">IF($T56="","",_xlfn.XLOOKUP(TRIM($T56),ISE!$L:$L,INDEX(ISE!$N:$T,0,COLUMN()-COLUMN($U$1)+1),""))</f>
        <v/>
      </c>
    </row>
    <row r="57" spans="21:27" ht="15" customHeight="1">
      <c r="U57" s="11" t="str" cm="1">
        <f t="array" ref="U57">IF($T57="","",_xlfn.XLOOKUP(TRIM($T57),ISE!$L:$L,INDEX(ISE!$N:$T,0,COLUMN()-COLUMN($U$1)+1),""))</f>
        <v/>
      </c>
      <c r="V57" s="11" t="str" cm="1">
        <f t="array" ref="V57">IF($T57="","",_xlfn.XLOOKUP(TRIM($T57),ISE!$L:$L,INDEX(ISE!$N:$T,0,COLUMN()-COLUMN($U$1)+1),""))</f>
        <v/>
      </c>
      <c r="W57" s="11" t="str" cm="1">
        <f t="array" ref="W57">IF($T57="","",_xlfn.XLOOKUP(TRIM($T57),ISE!$L:$L,INDEX(ISE!$N:$T,0,COLUMN()-COLUMN($U$1)+1),""))</f>
        <v/>
      </c>
      <c r="X57" s="11" t="str" cm="1">
        <f t="array" ref="X57">IF($T57="","",_xlfn.XLOOKUP(TRIM($T57),ISE!$L:$L,INDEX(ISE!$N:$T,0,COLUMN()-COLUMN($U$1)+1),""))</f>
        <v/>
      </c>
      <c r="Y57" s="11" t="str" cm="1">
        <f t="array" ref="Y57">IF($T57="","",_xlfn.XLOOKUP(TRIM($T57),ISE!$L:$L,INDEX(ISE!$N:$T,0,COLUMN()-COLUMN($U$1)+1),""))</f>
        <v/>
      </c>
      <c r="Z57" s="11" t="str" cm="1">
        <f t="array" ref="Z57">IF($T57="","",_xlfn.XLOOKUP(TRIM($T57),ISE!$L:$L,INDEX(ISE!$N:$T,0,COLUMN()-COLUMN($U$1)+1),""))</f>
        <v/>
      </c>
      <c r="AA57" s="11" t="str" cm="1">
        <f t="array" ref="AA57">IF($T57="","",_xlfn.XLOOKUP(TRIM($T57),ISE!$L:$L,INDEX(ISE!$N:$T,0,COLUMN()-COLUMN($U$1)+1),""))</f>
        <v/>
      </c>
    </row>
    <row r="58" spans="21:27" ht="15.75" customHeight="1">
      <c r="U58" s="11" t="str" cm="1">
        <f t="array" ref="U58">IF($T58="","",_xlfn.XLOOKUP(TRIM($T58),ISE!$L:$L,INDEX(ISE!$N:$T,0,COLUMN()-COLUMN($U$1)+1),""))</f>
        <v/>
      </c>
      <c r="V58" s="11" t="str" cm="1">
        <f t="array" ref="V58">IF($T58="","",_xlfn.XLOOKUP(TRIM($T58),ISE!$L:$L,INDEX(ISE!$N:$T,0,COLUMN()-COLUMN($U$1)+1),""))</f>
        <v/>
      </c>
      <c r="W58" s="11" t="str" cm="1">
        <f t="array" ref="W58">IF($T58="","",_xlfn.XLOOKUP(TRIM($T58),ISE!$L:$L,INDEX(ISE!$N:$T,0,COLUMN()-COLUMN($U$1)+1),""))</f>
        <v/>
      </c>
      <c r="X58" s="11" t="str" cm="1">
        <f t="array" ref="X58">IF($T58="","",_xlfn.XLOOKUP(TRIM($T58),ISE!$L:$L,INDEX(ISE!$N:$T,0,COLUMN()-COLUMN($U$1)+1),""))</f>
        <v/>
      </c>
      <c r="Y58" s="11" t="str" cm="1">
        <f t="array" ref="Y58">IF($T58="","",_xlfn.XLOOKUP(TRIM($T58),ISE!$L:$L,INDEX(ISE!$N:$T,0,COLUMN()-COLUMN($U$1)+1),""))</f>
        <v/>
      </c>
      <c r="Z58" s="11" t="str" cm="1">
        <f t="array" ref="Z58">IF($T58="","",_xlfn.XLOOKUP(TRIM($T58),ISE!$L:$L,INDEX(ISE!$N:$T,0,COLUMN()-COLUMN($U$1)+1),""))</f>
        <v/>
      </c>
      <c r="AA58" s="11" t="str" cm="1">
        <f t="array" ref="AA58">IF($T58="","",_xlfn.XLOOKUP(TRIM($T58),ISE!$L:$L,INDEX(ISE!$N:$T,0,COLUMN()-COLUMN($U$1)+1),""))</f>
        <v/>
      </c>
    </row>
    <row r="59" spans="21:27" ht="15.75" customHeight="1">
      <c r="U59" s="11" t="str" cm="1">
        <f t="array" ref="U59">IF($T59="","",_xlfn.XLOOKUP(TRIM($T59),ISE!$L:$L,INDEX(ISE!$N:$T,0,COLUMN()-COLUMN($U$1)+1),""))</f>
        <v/>
      </c>
      <c r="V59" s="11" t="str" cm="1">
        <f t="array" ref="V59">IF($T59="","",_xlfn.XLOOKUP(TRIM($T59),ISE!$L:$L,INDEX(ISE!$N:$T,0,COLUMN()-COLUMN($U$1)+1),""))</f>
        <v/>
      </c>
      <c r="W59" s="11" t="str" cm="1">
        <f t="array" ref="W59">IF($T59="","",_xlfn.XLOOKUP(TRIM($T59),ISE!$L:$L,INDEX(ISE!$N:$T,0,COLUMN()-COLUMN($U$1)+1),""))</f>
        <v/>
      </c>
      <c r="X59" s="11" t="str" cm="1">
        <f t="array" ref="X59">IF($T59="","",_xlfn.XLOOKUP(TRIM($T59),ISE!$L:$L,INDEX(ISE!$N:$T,0,COLUMN()-COLUMN($U$1)+1),""))</f>
        <v/>
      </c>
      <c r="Y59" s="11" t="str" cm="1">
        <f t="array" ref="Y59">IF($T59="","",_xlfn.XLOOKUP(TRIM($T59),ISE!$L:$L,INDEX(ISE!$N:$T,0,COLUMN()-COLUMN($U$1)+1),""))</f>
        <v/>
      </c>
      <c r="Z59" s="11" t="str" cm="1">
        <f t="array" ref="Z59">IF($T59="","",_xlfn.XLOOKUP(TRIM($T59),ISE!$L:$L,INDEX(ISE!$N:$T,0,COLUMN()-COLUMN($U$1)+1),""))</f>
        <v/>
      </c>
      <c r="AA59" s="11" t="str" cm="1">
        <f t="array" ref="AA59">IF($T59="","",_xlfn.XLOOKUP(TRIM($T59),ISE!$L:$L,INDEX(ISE!$N:$T,0,COLUMN()-COLUMN($U$1)+1),""))</f>
        <v/>
      </c>
    </row>
    <row r="60" spans="21:27" ht="15.75" customHeight="1">
      <c r="U60" s="11" t="str" cm="1">
        <f t="array" ref="U60">IF($T60="","",_xlfn.XLOOKUP(TRIM($T60),ISE!$L:$L,INDEX(ISE!$N:$T,0,COLUMN()-COLUMN($U$1)+1),""))</f>
        <v/>
      </c>
      <c r="V60" s="11" t="str" cm="1">
        <f t="array" ref="V60">IF($T60="","",_xlfn.XLOOKUP(TRIM($T60),ISE!$L:$L,INDEX(ISE!$N:$T,0,COLUMN()-COLUMN($U$1)+1),""))</f>
        <v/>
      </c>
      <c r="W60" s="11" t="str" cm="1">
        <f t="array" ref="W60">IF($T60="","",_xlfn.XLOOKUP(TRIM($T60),ISE!$L:$L,INDEX(ISE!$N:$T,0,COLUMN()-COLUMN($U$1)+1),""))</f>
        <v/>
      </c>
      <c r="X60" s="11" t="str" cm="1">
        <f t="array" ref="X60">IF($T60="","",_xlfn.XLOOKUP(TRIM($T60),ISE!$L:$L,INDEX(ISE!$N:$T,0,COLUMN()-COLUMN($U$1)+1),""))</f>
        <v/>
      </c>
      <c r="Y60" s="11" t="str" cm="1">
        <f t="array" ref="Y60">IF($T60="","",_xlfn.XLOOKUP(TRIM($T60),ISE!$L:$L,INDEX(ISE!$N:$T,0,COLUMN()-COLUMN($U$1)+1),""))</f>
        <v/>
      </c>
      <c r="Z60" s="11" t="str" cm="1">
        <f t="array" ref="Z60">IF($T60="","",_xlfn.XLOOKUP(TRIM($T60),ISE!$L:$L,INDEX(ISE!$N:$T,0,COLUMN()-COLUMN($U$1)+1),""))</f>
        <v/>
      </c>
      <c r="AA60" s="11" t="str" cm="1">
        <f t="array" ref="AA60">IF($T60="","",_xlfn.XLOOKUP(TRIM($T60),ISE!$L:$L,INDEX(ISE!$N:$T,0,COLUMN()-COLUMN($U$1)+1),""))</f>
        <v/>
      </c>
    </row>
    <row r="61" spans="21:27" ht="15.75" customHeight="1">
      <c r="U61" s="11" t="str" cm="1">
        <f t="array" ref="U61">IF($T61="","",_xlfn.XLOOKUP(TRIM($T61),ISE!$L:$L,INDEX(ISE!$N:$T,0,COLUMN()-COLUMN($U$1)+1),""))</f>
        <v/>
      </c>
      <c r="V61" s="11" t="str" cm="1">
        <f t="array" ref="V61">IF($T61="","",_xlfn.XLOOKUP(TRIM($T61),ISE!$L:$L,INDEX(ISE!$N:$T,0,COLUMN()-COLUMN($U$1)+1),""))</f>
        <v/>
      </c>
      <c r="W61" s="11" t="str" cm="1">
        <f t="array" ref="W61">IF($T61="","",_xlfn.XLOOKUP(TRIM($T61),ISE!$L:$L,INDEX(ISE!$N:$T,0,COLUMN()-COLUMN($U$1)+1),""))</f>
        <v/>
      </c>
      <c r="X61" s="11" t="str" cm="1">
        <f t="array" ref="X61">IF($T61="","",_xlfn.XLOOKUP(TRIM($T61),ISE!$L:$L,INDEX(ISE!$N:$T,0,COLUMN()-COLUMN($U$1)+1),""))</f>
        <v/>
      </c>
      <c r="Y61" s="11" t="str" cm="1">
        <f t="array" ref="Y61">IF($T61="","",_xlfn.XLOOKUP(TRIM($T61),ISE!$L:$L,INDEX(ISE!$N:$T,0,COLUMN()-COLUMN($U$1)+1),""))</f>
        <v/>
      </c>
      <c r="Z61" s="11" t="str" cm="1">
        <f t="array" ref="Z61">IF($T61="","",_xlfn.XLOOKUP(TRIM($T61),ISE!$L:$L,INDEX(ISE!$N:$T,0,COLUMN()-COLUMN($U$1)+1),""))</f>
        <v/>
      </c>
      <c r="AA61" s="11" t="str" cm="1">
        <f t="array" ref="AA61">IF($T61="","",_xlfn.XLOOKUP(TRIM($T61),ISE!$L:$L,INDEX(ISE!$N:$T,0,COLUMN()-COLUMN($U$1)+1),""))</f>
        <v/>
      </c>
    </row>
    <row r="62" spans="21:27" ht="15.75" customHeight="1">
      <c r="U62" s="11" t="str" cm="1">
        <f t="array" ref="U62">IF($T62="","",_xlfn.XLOOKUP(TRIM($T62),ISE!$L:$L,INDEX(ISE!$N:$T,0,COLUMN()-COLUMN($U$1)+1),""))</f>
        <v/>
      </c>
      <c r="V62" s="11" t="str" cm="1">
        <f t="array" ref="V62">IF($T62="","",_xlfn.XLOOKUP(TRIM($T62),ISE!$L:$L,INDEX(ISE!$N:$T,0,COLUMN()-COLUMN($U$1)+1),""))</f>
        <v/>
      </c>
      <c r="W62" s="11" t="str" cm="1">
        <f t="array" ref="W62">IF($T62="","",_xlfn.XLOOKUP(TRIM($T62),ISE!$L:$L,INDEX(ISE!$N:$T,0,COLUMN()-COLUMN($U$1)+1),""))</f>
        <v/>
      </c>
      <c r="X62" s="11" t="str" cm="1">
        <f t="array" ref="X62">IF($T62="","",_xlfn.XLOOKUP(TRIM($T62),ISE!$L:$L,INDEX(ISE!$N:$T,0,COLUMN()-COLUMN($U$1)+1),""))</f>
        <v/>
      </c>
      <c r="Y62" s="11" t="str" cm="1">
        <f t="array" ref="Y62">IF($T62="","",_xlfn.XLOOKUP(TRIM($T62),ISE!$L:$L,INDEX(ISE!$N:$T,0,COLUMN()-COLUMN($U$1)+1),""))</f>
        <v/>
      </c>
      <c r="Z62" s="11" t="str" cm="1">
        <f t="array" ref="Z62">IF($T62="","",_xlfn.XLOOKUP(TRIM($T62),ISE!$L:$L,INDEX(ISE!$N:$T,0,COLUMN()-COLUMN($U$1)+1),""))</f>
        <v/>
      </c>
      <c r="AA62" s="11" t="str" cm="1">
        <f t="array" ref="AA62">IF($T62="","",_xlfn.XLOOKUP(TRIM($T62),ISE!$L:$L,INDEX(ISE!$N:$T,0,COLUMN()-COLUMN($U$1)+1),""))</f>
        <v/>
      </c>
    </row>
    <row r="63" spans="21:27" ht="15.75" customHeight="1">
      <c r="U63" s="11" t="str" cm="1">
        <f t="array" ref="U63">IF($T63="","",_xlfn.XLOOKUP(TRIM($T63),ISE!$L:$L,INDEX(ISE!$N:$T,0,COLUMN()-COLUMN($U$1)+1),""))</f>
        <v/>
      </c>
      <c r="V63" s="11" t="str" cm="1">
        <f t="array" ref="V63">IF($T63="","",_xlfn.XLOOKUP(TRIM($T63),ISE!$L:$L,INDEX(ISE!$N:$T,0,COLUMN()-COLUMN($U$1)+1),""))</f>
        <v/>
      </c>
      <c r="W63" s="11" t="str" cm="1">
        <f t="array" ref="W63">IF($T63="","",_xlfn.XLOOKUP(TRIM($T63),ISE!$L:$L,INDEX(ISE!$N:$T,0,COLUMN()-COLUMN($U$1)+1),""))</f>
        <v/>
      </c>
      <c r="X63" s="11" t="str" cm="1">
        <f t="array" ref="X63">IF($T63="","",_xlfn.XLOOKUP(TRIM($T63),ISE!$L:$L,INDEX(ISE!$N:$T,0,COLUMN()-COLUMN($U$1)+1),""))</f>
        <v/>
      </c>
      <c r="Y63" s="11" t="str" cm="1">
        <f t="array" ref="Y63">IF($T63="","",_xlfn.XLOOKUP(TRIM($T63),ISE!$L:$L,INDEX(ISE!$N:$T,0,COLUMN()-COLUMN($U$1)+1),""))</f>
        <v/>
      </c>
      <c r="Z63" s="11" t="str" cm="1">
        <f t="array" ref="Z63">IF($T63="","",_xlfn.XLOOKUP(TRIM($T63),ISE!$L:$L,INDEX(ISE!$N:$T,0,COLUMN()-COLUMN($U$1)+1),""))</f>
        <v/>
      </c>
      <c r="AA63" s="11" t="str" cm="1">
        <f t="array" ref="AA63">IF($T63="","",_xlfn.XLOOKUP(TRIM($T63),ISE!$L:$L,INDEX(ISE!$N:$T,0,COLUMN()-COLUMN($U$1)+1),""))</f>
        <v/>
      </c>
    </row>
    <row r="64" spans="21:27" ht="15.75" customHeight="1">
      <c r="U64" s="11" t="str" cm="1">
        <f t="array" ref="U64">IF($T64="","",_xlfn.XLOOKUP(TRIM($T64),ISE!$L:$L,INDEX(ISE!$N:$T,0,COLUMN()-COLUMN($U$1)+1),""))</f>
        <v/>
      </c>
      <c r="V64" s="11" t="str" cm="1">
        <f t="array" ref="V64">IF($T64="","",_xlfn.XLOOKUP(TRIM($T64),ISE!$L:$L,INDEX(ISE!$N:$T,0,COLUMN()-COLUMN($U$1)+1),""))</f>
        <v/>
      </c>
      <c r="W64" s="11" t="str" cm="1">
        <f t="array" ref="W64">IF($T64="","",_xlfn.XLOOKUP(TRIM($T64),ISE!$L:$L,INDEX(ISE!$N:$T,0,COLUMN()-COLUMN($U$1)+1),""))</f>
        <v/>
      </c>
      <c r="X64" s="11" t="str" cm="1">
        <f t="array" ref="X64">IF($T64="","",_xlfn.XLOOKUP(TRIM($T64),ISE!$L:$L,INDEX(ISE!$N:$T,0,COLUMN()-COLUMN($U$1)+1),""))</f>
        <v/>
      </c>
      <c r="Y64" s="11" t="str" cm="1">
        <f t="array" ref="Y64">IF($T64="","",_xlfn.XLOOKUP(TRIM($T64),ISE!$L:$L,INDEX(ISE!$N:$T,0,COLUMN()-COLUMN($U$1)+1),""))</f>
        <v/>
      </c>
      <c r="Z64" s="11" t="str" cm="1">
        <f t="array" ref="Z64">IF($T64="","",_xlfn.XLOOKUP(TRIM($T64),ISE!$L:$L,INDEX(ISE!$N:$T,0,COLUMN()-COLUMN($U$1)+1),""))</f>
        <v/>
      </c>
      <c r="AA64" s="11" t="str" cm="1">
        <f t="array" ref="AA64">IF($T64="","",_xlfn.XLOOKUP(TRIM($T64),ISE!$L:$L,INDEX(ISE!$N:$T,0,COLUMN()-COLUMN($U$1)+1),""))</f>
        <v/>
      </c>
    </row>
    <row r="65" spans="21:27" ht="15.75" customHeight="1">
      <c r="U65" s="11" t="str" cm="1">
        <f t="array" ref="U65">IF($T65="","",_xlfn.XLOOKUP(TRIM($T65),ISE!$L:$L,INDEX(ISE!$N:$T,0,COLUMN()-COLUMN($U$1)+1),""))</f>
        <v/>
      </c>
      <c r="V65" s="11" t="str" cm="1">
        <f t="array" ref="V65">IF($T65="","",_xlfn.XLOOKUP(TRIM($T65),ISE!$L:$L,INDEX(ISE!$N:$T,0,COLUMN()-COLUMN($U$1)+1),""))</f>
        <v/>
      </c>
      <c r="W65" s="11" t="str" cm="1">
        <f t="array" ref="W65">IF($T65="","",_xlfn.XLOOKUP(TRIM($T65),ISE!$L:$L,INDEX(ISE!$N:$T,0,COLUMN()-COLUMN($U$1)+1),""))</f>
        <v/>
      </c>
      <c r="X65" s="11" t="str" cm="1">
        <f t="array" ref="X65">IF($T65="","",_xlfn.XLOOKUP(TRIM($T65),ISE!$L:$L,INDEX(ISE!$N:$T,0,COLUMN()-COLUMN($U$1)+1),""))</f>
        <v/>
      </c>
      <c r="Y65" s="11" t="str" cm="1">
        <f t="array" ref="Y65">IF($T65="","",_xlfn.XLOOKUP(TRIM($T65),ISE!$L:$L,INDEX(ISE!$N:$T,0,COLUMN()-COLUMN($U$1)+1),""))</f>
        <v/>
      </c>
      <c r="Z65" s="11" t="str" cm="1">
        <f t="array" ref="Z65">IF($T65="","",_xlfn.XLOOKUP(TRIM($T65),ISE!$L:$L,INDEX(ISE!$N:$T,0,COLUMN()-COLUMN($U$1)+1),""))</f>
        <v/>
      </c>
      <c r="AA65" s="11" t="str" cm="1">
        <f t="array" ref="AA65">IF($T65="","",_xlfn.XLOOKUP(TRIM($T65),ISE!$L:$L,INDEX(ISE!$N:$T,0,COLUMN()-COLUMN($U$1)+1),""))</f>
        <v/>
      </c>
    </row>
    <row r="66" spans="21:27" ht="15.75" customHeight="1">
      <c r="U66" s="11" t="str" cm="1">
        <f t="array" ref="U66">IF($T66="","",_xlfn.XLOOKUP(TRIM($T66),ISE!$L:$L,INDEX(ISE!$N:$T,0,COLUMN()-COLUMN($U$1)+1),""))</f>
        <v/>
      </c>
      <c r="V66" s="11" t="str" cm="1">
        <f t="array" ref="V66">IF($T66="","",_xlfn.XLOOKUP(TRIM($T66),ISE!$L:$L,INDEX(ISE!$N:$T,0,COLUMN()-COLUMN($U$1)+1),""))</f>
        <v/>
      </c>
      <c r="W66" s="11" t="str" cm="1">
        <f t="array" ref="W66">IF($T66="","",_xlfn.XLOOKUP(TRIM($T66),ISE!$L:$L,INDEX(ISE!$N:$T,0,COLUMN()-COLUMN($U$1)+1),""))</f>
        <v/>
      </c>
      <c r="X66" s="11" t="str" cm="1">
        <f t="array" ref="X66">IF($T66="","",_xlfn.XLOOKUP(TRIM($T66),ISE!$L:$L,INDEX(ISE!$N:$T,0,COLUMN()-COLUMN($U$1)+1),""))</f>
        <v/>
      </c>
      <c r="Y66" s="11" t="str" cm="1">
        <f t="array" ref="Y66">IF($T66="","",_xlfn.XLOOKUP(TRIM($T66),ISE!$L:$L,INDEX(ISE!$N:$T,0,COLUMN()-COLUMN($U$1)+1),""))</f>
        <v/>
      </c>
      <c r="Z66" s="11" t="str" cm="1">
        <f t="array" ref="Z66">IF($T66="","",_xlfn.XLOOKUP(TRIM($T66),ISE!$L:$L,INDEX(ISE!$N:$T,0,COLUMN()-COLUMN($U$1)+1),""))</f>
        <v/>
      </c>
      <c r="AA66" s="11" t="str" cm="1">
        <f t="array" ref="AA66">IF($T66="","",_xlfn.XLOOKUP(TRIM($T66),ISE!$L:$L,INDEX(ISE!$N:$T,0,COLUMN()-COLUMN($U$1)+1),""))</f>
        <v/>
      </c>
    </row>
    <row r="67" spans="21:27" ht="15.75" customHeight="1">
      <c r="U67" s="11" t="str" cm="1">
        <f t="array" ref="U67">IF($T67="","",_xlfn.XLOOKUP(TRIM($T67),ISE!$L:$L,INDEX(ISE!$N:$T,0,COLUMN()-COLUMN($U$1)+1),""))</f>
        <v/>
      </c>
      <c r="V67" s="11" t="str" cm="1">
        <f t="array" ref="V67">IF($T67="","",_xlfn.XLOOKUP(TRIM($T67),ISE!$L:$L,INDEX(ISE!$N:$T,0,COLUMN()-COLUMN($U$1)+1),""))</f>
        <v/>
      </c>
      <c r="W67" s="11" t="str" cm="1">
        <f t="array" ref="W67">IF($T67="","",_xlfn.XLOOKUP(TRIM($T67),ISE!$L:$L,INDEX(ISE!$N:$T,0,COLUMN()-COLUMN($U$1)+1),""))</f>
        <v/>
      </c>
      <c r="X67" s="11" t="str" cm="1">
        <f t="array" ref="X67">IF($T67="","",_xlfn.XLOOKUP(TRIM($T67),ISE!$L:$L,INDEX(ISE!$N:$T,0,COLUMN()-COLUMN($U$1)+1),""))</f>
        <v/>
      </c>
      <c r="Y67" s="11" t="str" cm="1">
        <f t="array" ref="Y67">IF($T67="","",_xlfn.XLOOKUP(TRIM($T67),ISE!$L:$L,INDEX(ISE!$N:$T,0,COLUMN()-COLUMN($U$1)+1),""))</f>
        <v/>
      </c>
      <c r="Z67" s="11" t="str" cm="1">
        <f t="array" ref="Z67">IF($T67="","",_xlfn.XLOOKUP(TRIM($T67),ISE!$L:$L,INDEX(ISE!$N:$T,0,COLUMN()-COLUMN($U$1)+1),""))</f>
        <v/>
      </c>
      <c r="AA67" s="11" t="str" cm="1">
        <f t="array" ref="AA67">IF($T67="","",_xlfn.XLOOKUP(TRIM($T67),ISE!$L:$L,INDEX(ISE!$N:$T,0,COLUMN()-COLUMN($U$1)+1),""))</f>
        <v/>
      </c>
    </row>
    <row r="68" spans="21:27" ht="15.75" customHeight="1">
      <c r="U68" s="11" t="str" cm="1">
        <f t="array" ref="U68">IF($T68="","",_xlfn.XLOOKUP(TRIM($T68),ISE!$L:$L,INDEX(ISE!$N:$T,0,COLUMN()-COLUMN($U$1)+1),""))</f>
        <v/>
      </c>
      <c r="V68" s="11" t="str" cm="1">
        <f t="array" ref="V68">IF($T68="","",_xlfn.XLOOKUP(TRIM($T68),ISE!$L:$L,INDEX(ISE!$N:$T,0,COLUMN()-COLUMN($U$1)+1),""))</f>
        <v/>
      </c>
      <c r="W68" s="11" t="str" cm="1">
        <f t="array" ref="W68">IF($T68="","",_xlfn.XLOOKUP(TRIM($T68),ISE!$L:$L,INDEX(ISE!$N:$T,0,COLUMN()-COLUMN($U$1)+1),""))</f>
        <v/>
      </c>
      <c r="X68" s="11" t="str" cm="1">
        <f t="array" ref="X68">IF($T68="","",_xlfn.XLOOKUP(TRIM($T68),ISE!$L:$L,INDEX(ISE!$N:$T,0,COLUMN()-COLUMN($U$1)+1),""))</f>
        <v/>
      </c>
      <c r="Y68" s="11" t="str" cm="1">
        <f t="array" ref="Y68">IF($T68="","",_xlfn.XLOOKUP(TRIM($T68),ISE!$L:$L,INDEX(ISE!$N:$T,0,COLUMN()-COLUMN($U$1)+1),""))</f>
        <v/>
      </c>
      <c r="Z68" s="11" t="str" cm="1">
        <f t="array" ref="Z68">IF($T68="","",_xlfn.XLOOKUP(TRIM($T68),ISE!$L:$L,INDEX(ISE!$N:$T,0,COLUMN()-COLUMN($U$1)+1),""))</f>
        <v/>
      </c>
      <c r="AA68" s="11" t="str" cm="1">
        <f t="array" ref="AA68">IF($T68="","",_xlfn.XLOOKUP(TRIM($T68),ISE!$L:$L,INDEX(ISE!$N:$T,0,COLUMN()-COLUMN($U$1)+1),""))</f>
        <v/>
      </c>
    </row>
    <row r="69" spans="21:27" ht="15.75" customHeight="1">
      <c r="U69" s="11" t="str" cm="1">
        <f t="array" ref="U69">IF($T69="","",_xlfn.XLOOKUP(TRIM($T69),ISE!$L:$L,INDEX(ISE!$N:$T,0,COLUMN()-COLUMN($U$1)+1),""))</f>
        <v/>
      </c>
      <c r="V69" s="11" t="str" cm="1">
        <f t="array" ref="V69">IF($T69="","",_xlfn.XLOOKUP(TRIM($T69),ISE!$L:$L,INDEX(ISE!$N:$T,0,COLUMN()-COLUMN($U$1)+1),""))</f>
        <v/>
      </c>
      <c r="W69" s="11" t="str" cm="1">
        <f t="array" ref="W69">IF($T69="","",_xlfn.XLOOKUP(TRIM($T69),ISE!$L:$L,INDEX(ISE!$N:$T,0,COLUMN()-COLUMN($U$1)+1),""))</f>
        <v/>
      </c>
      <c r="X69" s="11" t="str" cm="1">
        <f t="array" ref="X69">IF($T69="","",_xlfn.XLOOKUP(TRIM($T69),ISE!$L:$L,INDEX(ISE!$N:$T,0,COLUMN()-COLUMN($U$1)+1),""))</f>
        <v/>
      </c>
      <c r="Y69" s="11" t="str" cm="1">
        <f t="array" ref="Y69">IF($T69="","",_xlfn.XLOOKUP(TRIM($T69),ISE!$L:$L,INDEX(ISE!$N:$T,0,COLUMN()-COLUMN($U$1)+1),""))</f>
        <v/>
      </c>
      <c r="Z69" s="11" t="str" cm="1">
        <f t="array" ref="Z69">IF($T69="","",_xlfn.XLOOKUP(TRIM($T69),ISE!$L:$L,INDEX(ISE!$N:$T,0,COLUMN()-COLUMN($U$1)+1),""))</f>
        <v/>
      </c>
      <c r="AA69" s="11" t="str" cm="1">
        <f t="array" ref="AA69">IF($T69="","",_xlfn.XLOOKUP(TRIM($T69),ISE!$L:$L,INDEX(ISE!$N:$T,0,COLUMN()-COLUMN($U$1)+1),""))</f>
        <v/>
      </c>
    </row>
    <row r="70" spans="21:27" ht="15.75" customHeight="1">
      <c r="U70" s="11" t="str" cm="1">
        <f t="array" ref="U70">IF($T70="","",_xlfn.XLOOKUP(TRIM($T70),ISE!$L:$L,INDEX(ISE!$N:$T,0,COLUMN()-COLUMN($U$1)+1),""))</f>
        <v/>
      </c>
      <c r="V70" s="11" t="str" cm="1">
        <f t="array" ref="V70">IF($T70="","",_xlfn.XLOOKUP(TRIM($T70),ISE!$L:$L,INDEX(ISE!$N:$T,0,COLUMN()-COLUMN($U$1)+1),""))</f>
        <v/>
      </c>
      <c r="W70" s="11" t="str" cm="1">
        <f t="array" ref="W70">IF($T70="","",_xlfn.XLOOKUP(TRIM($T70),ISE!$L:$L,INDEX(ISE!$N:$T,0,COLUMN()-COLUMN($U$1)+1),""))</f>
        <v/>
      </c>
      <c r="X70" s="11" t="str" cm="1">
        <f t="array" ref="X70">IF($T70="","",_xlfn.XLOOKUP(TRIM($T70),ISE!$L:$L,INDEX(ISE!$N:$T,0,COLUMN()-COLUMN($U$1)+1),""))</f>
        <v/>
      </c>
      <c r="Y70" s="11" t="str" cm="1">
        <f t="array" ref="Y70">IF($T70="","",_xlfn.XLOOKUP(TRIM($T70),ISE!$L:$L,INDEX(ISE!$N:$T,0,COLUMN()-COLUMN($U$1)+1),""))</f>
        <v/>
      </c>
      <c r="Z70" s="11" t="str" cm="1">
        <f t="array" ref="Z70">IF($T70="","",_xlfn.XLOOKUP(TRIM($T70),ISE!$L:$L,INDEX(ISE!$N:$T,0,COLUMN()-COLUMN($U$1)+1),""))</f>
        <v/>
      </c>
      <c r="AA70" s="11" t="str" cm="1">
        <f t="array" ref="AA70">IF($T70="","",_xlfn.XLOOKUP(TRIM($T70),ISE!$L:$L,INDEX(ISE!$N:$T,0,COLUMN()-COLUMN($U$1)+1),""))</f>
        <v/>
      </c>
    </row>
    <row r="71" spans="21:27" ht="15.75" customHeight="1">
      <c r="U71" s="11" t="str" cm="1">
        <f t="array" ref="U71">IF($T71="","",_xlfn.XLOOKUP(TRIM($T71),ISE!$L:$L,INDEX(ISE!$N:$T,0,COLUMN()-COLUMN($U$1)+1),""))</f>
        <v/>
      </c>
      <c r="V71" s="11" t="str" cm="1">
        <f t="array" ref="V71">IF($T71="","",_xlfn.XLOOKUP(TRIM($T71),ISE!$L:$L,INDEX(ISE!$N:$T,0,COLUMN()-COLUMN($U$1)+1),""))</f>
        <v/>
      </c>
      <c r="W71" s="11" t="str" cm="1">
        <f t="array" ref="W71">IF($T71="","",_xlfn.XLOOKUP(TRIM($T71),ISE!$L:$L,INDEX(ISE!$N:$T,0,COLUMN()-COLUMN($U$1)+1),""))</f>
        <v/>
      </c>
      <c r="X71" s="11" t="str" cm="1">
        <f t="array" ref="X71">IF($T71="","",_xlfn.XLOOKUP(TRIM($T71),ISE!$L:$L,INDEX(ISE!$N:$T,0,COLUMN()-COLUMN($U$1)+1),""))</f>
        <v/>
      </c>
      <c r="Y71" s="11" t="str" cm="1">
        <f t="array" ref="Y71">IF($T71="","",_xlfn.XLOOKUP(TRIM($T71),ISE!$L:$L,INDEX(ISE!$N:$T,0,COLUMN()-COLUMN($U$1)+1),""))</f>
        <v/>
      </c>
      <c r="Z71" s="11" t="str" cm="1">
        <f t="array" ref="Z71">IF($T71="","",_xlfn.XLOOKUP(TRIM($T71),ISE!$L:$L,INDEX(ISE!$N:$T,0,COLUMN()-COLUMN($U$1)+1),""))</f>
        <v/>
      </c>
      <c r="AA71" s="11" t="str" cm="1">
        <f t="array" ref="AA71">IF($T71="","",_xlfn.XLOOKUP(TRIM($T71),ISE!$L:$L,INDEX(ISE!$N:$T,0,COLUMN()-COLUMN($U$1)+1),""))</f>
        <v/>
      </c>
    </row>
    <row r="72" spans="21:27" ht="15.75" customHeight="1">
      <c r="U72" s="11" t="str" cm="1">
        <f t="array" ref="U72">IF($T72="","",_xlfn.XLOOKUP(TRIM($T72),ISE!$L:$L,INDEX(ISE!$N:$T,0,COLUMN()-COLUMN($U$1)+1),""))</f>
        <v/>
      </c>
      <c r="V72" s="11" t="str" cm="1">
        <f t="array" ref="V72">IF($T72="","",_xlfn.XLOOKUP(TRIM($T72),ISE!$L:$L,INDEX(ISE!$N:$T,0,COLUMN()-COLUMN($U$1)+1),""))</f>
        <v/>
      </c>
      <c r="W72" s="11" t="str" cm="1">
        <f t="array" ref="W72">IF($T72="","",_xlfn.XLOOKUP(TRIM($T72),ISE!$L:$L,INDEX(ISE!$N:$T,0,COLUMN()-COLUMN($U$1)+1),""))</f>
        <v/>
      </c>
      <c r="X72" s="11" t="str" cm="1">
        <f t="array" ref="X72">IF($T72="","",_xlfn.XLOOKUP(TRIM($T72),ISE!$L:$L,INDEX(ISE!$N:$T,0,COLUMN()-COLUMN($U$1)+1),""))</f>
        <v/>
      </c>
      <c r="Y72" s="11" t="str" cm="1">
        <f t="array" ref="Y72">IF($T72="","",_xlfn.XLOOKUP(TRIM($T72),ISE!$L:$L,INDEX(ISE!$N:$T,0,COLUMN()-COLUMN($U$1)+1),""))</f>
        <v/>
      </c>
      <c r="Z72" s="11" t="str" cm="1">
        <f t="array" ref="Z72">IF($T72="","",_xlfn.XLOOKUP(TRIM($T72),ISE!$L:$L,INDEX(ISE!$N:$T,0,COLUMN()-COLUMN($U$1)+1),""))</f>
        <v/>
      </c>
      <c r="AA72" s="11" t="str" cm="1">
        <f t="array" ref="AA72">IF($T72="","",_xlfn.XLOOKUP(TRIM($T72),ISE!$L:$L,INDEX(ISE!$N:$T,0,COLUMN()-COLUMN($U$1)+1),""))</f>
        <v/>
      </c>
    </row>
    <row r="73" spans="21:27" ht="15.75" customHeight="1">
      <c r="U73" s="11" t="str" cm="1">
        <f t="array" ref="U73">IF($T73="","",_xlfn.XLOOKUP(TRIM($T73),ISE!$L:$L,INDEX(ISE!$N:$T,0,COLUMN()-COLUMN($U$1)+1),""))</f>
        <v/>
      </c>
      <c r="V73" s="11" t="str" cm="1">
        <f t="array" ref="V73">IF($T73="","",_xlfn.XLOOKUP(TRIM($T73),ISE!$L:$L,INDEX(ISE!$N:$T,0,COLUMN()-COLUMN($U$1)+1),""))</f>
        <v/>
      </c>
      <c r="W73" s="11" t="str" cm="1">
        <f t="array" ref="W73">IF($T73="","",_xlfn.XLOOKUP(TRIM($T73),ISE!$L:$L,INDEX(ISE!$N:$T,0,COLUMN()-COLUMN($U$1)+1),""))</f>
        <v/>
      </c>
      <c r="X73" s="11" t="str" cm="1">
        <f t="array" ref="X73">IF($T73="","",_xlfn.XLOOKUP(TRIM($T73),ISE!$L:$L,INDEX(ISE!$N:$T,0,COLUMN()-COLUMN($U$1)+1),""))</f>
        <v/>
      </c>
      <c r="Y73" s="11" t="str" cm="1">
        <f t="array" ref="Y73">IF($T73="","",_xlfn.XLOOKUP(TRIM($T73),ISE!$L:$L,INDEX(ISE!$N:$T,0,COLUMN()-COLUMN($U$1)+1),""))</f>
        <v/>
      </c>
      <c r="Z73" s="11" t="str" cm="1">
        <f t="array" ref="Z73">IF($T73="","",_xlfn.XLOOKUP(TRIM($T73),ISE!$L:$L,INDEX(ISE!$N:$T,0,COLUMN()-COLUMN($U$1)+1),""))</f>
        <v/>
      </c>
      <c r="AA73" s="11" t="str" cm="1">
        <f t="array" ref="AA73">IF($T73="","",_xlfn.XLOOKUP(TRIM($T73),ISE!$L:$L,INDEX(ISE!$N:$T,0,COLUMN()-COLUMN($U$1)+1),""))</f>
        <v/>
      </c>
    </row>
    <row r="74" spans="21:27" ht="15.75" customHeight="1">
      <c r="U74" s="11" t="str" cm="1">
        <f t="array" ref="U74">IF($T74="","",_xlfn.XLOOKUP(TRIM($T74),ISE!$L:$L,INDEX(ISE!$N:$T,0,COLUMN()-COLUMN($U$1)+1),""))</f>
        <v/>
      </c>
      <c r="V74" s="11" t="str" cm="1">
        <f t="array" ref="V74">IF($T74="","",_xlfn.XLOOKUP(TRIM($T74),ISE!$L:$L,INDEX(ISE!$N:$T,0,COLUMN()-COLUMN($U$1)+1),""))</f>
        <v/>
      </c>
      <c r="W74" s="11" t="str" cm="1">
        <f t="array" ref="W74">IF($T74="","",_xlfn.XLOOKUP(TRIM($T74),ISE!$L:$L,INDEX(ISE!$N:$T,0,COLUMN()-COLUMN($U$1)+1),""))</f>
        <v/>
      </c>
      <c r="X74" s="11" t="str" cm="1">
        <f t="array" ref="X74">IF($T74="","",_xlfn.XLOOKUP(TRIM($T74),ISE!$L:$L,INDEX(ISE!$N:$T,0,COLUMN()-COLUMN($U$1)+1),""))</f>
        <v/>
      </c>
      <c r="Y74" s="11" t="str" cm="1">
        <f t="array" ref="Y74">IF($T74="","",_xlfn.XLOOKUP(TRIM($T74),ISE!$L:$L,INDEX(ISE!$N:$T,0,COLUMN()-COLUMN($U$1)+1),""))</f>
        <v/>
      </c>
      <c r="Z74" s="11" t="str" cm="1">
        <f t="array" ref="Z74">IF($T74="","",_xlfn.XLOOKUP(TRIM($T74),ISE!$L:$L,INDEX(ISE!$N:$T,0,COLUMN()-COLUMN($U$1)+1),""))</f>
        <v/>
      </c>
      <c r="AA74" s="11" t="str" cm="1">
        <f t="array" ref="AA74">IF($T74="","",_xlfn.XLOOKUP(TRIM($T74),ISE!$L:$L,INDEX(ISE!$N:$T,0,COLUMN()-COLUMN($U$1)+1),""))</f>
        <v/>
      </c>
    </row>
    <row r="75" spans="21:27" ht="15.75" customHeight="1">
      <c r="U75" s="11" t="str" cm="1">
        <f t="array" ref="U75">IF($T75="","",_xlfn.XLOOKUP(TRIM($T75),ISE!$L:$L,INDEX(ISE!$N:$T,0,COLUMN()-COLUMN($U$1)+1),""))</f>
        <v/>
      </c>
      <c r="V75" s="11" t="str" cm="1">
        <f t="array" ref="V75">IF($T75="","",_xlfn.XLOOKUP(TRIM($T75),ISE!$L:$L,INDEX(ISE!$N:$T,0,COLUMN()-COLUMN($U$1)+1),""))</f>
        <v/>
      </c>
      <c r="W75" s="11" t="str" cm="1">
        <f t="array" ref="W75">IF($T75="","",_xlfn.XLOOKUP(TRIM($T75),ISE!$L:$L,INDEX(ISE!$N:$T,0,COLUMN()-COLUMN($U$1)+1),""))</f>
        <v/>
      </c>
      <c r="X75" s="11" t="str" cm="1">
        <f t="array" ref="X75">IF($T75="","",_xlfn.XLOOKUP(TRIM($T75),ISE!$L:$L,INDEX(ISE!$N:$T,0,COLUMN()-COLUMN($U$1)+1),""))</f>
        <v/>
      </c>
      <c r="Y75" s="11" t="str" cm="1">
        <f t="array" ref="Y75">IF($T75="","",_xlfn.XLOOKUP(TRIM($T75),ISE!$L:$L,INDEX(ISE!$N:$T,0,COLUMN()-COLUMN($U$1)+1),""))</f>
        <v/>
      </c>
      <c r="Z75" s="11" t="str" cm="1">
        <f t="array" ref="Z75">IF($T75="","",_xlfn.XLOOKUP(TRIM($T75),ISE!$L:$L,INDEX(ISE!$N:$T,0,COLUMN()-COLUMN($U$1)+1),""))</f>
        <v/>
      </c>
      <c r="AA75" s="11" t="str" cm="1">
        <f t="array" ref="AA75">IF($T75="","",_xlfn.XLOOKUP(TRIM($T75),ISE!$L:$L,INDEX(ISE!$N:$T,0,COLUMN()-COLUMN($U$1)+1),""))</f>
        <v/>
      </c>
    </row>
    <row r="76" spans="21:27" ht="15.75" customHeight="1">
      <c r="U76" s="11" t="str" cm="1">
        <f t="array" ref="U76">IF($T76="","",_xlfn.XLOOKUP(TRIM($T76),ISE!$L:$L,INDEX(ISE!$N:$T,0,COLUMN()-COLUMN($U$1)+1),""))</f>
        <v/>
      </c>
      <c r="V76" s="11" t="str" cm="1">
        <f t="array" ref="V76">IF($T76="","",_xlfn.XLOOKUP(TRIM($T76),ISE!$L:$L,INDEX(ISE!$N:$T,0,COLUMN()-COLUMN($U$1)+1),""))</f>
        <v/>
      </c>
      <c r="W76" s="11" t="str" cm="1">
        <f t="array" ref="W76">IF($T76="","",_xlfn.XLOOKUP(TRIM($T76),ISE!$L:$L,INDEX(ISE!$N:$T,0,COLUMN()-COLUMN($U$1)+1),""))</f>
        <v/>
      </c>
      <c r="X76" s="11" t="str" cm="1">
        <f t="array" ref="X76">IF($T76="","",_xlfn.XLOOKUP(TRIM($T76),ISE!$L:$L,INDEX(ISE!$N:$T,0,COLUMN()-COLUMN($U$1)+1),""))</f>
        <v/>
      </c>
      <c r="Y76" s="11" t="str" cm="1">
        <f t="array" ref="Y76">IF($T76="","",_xlfn.XLOOKUP(TRIM($T76),ISE!$L:$L,INDEX(ISE!$N:$T,0,COLUMN()-COLUMN($U$1)+1),""))</f>
        <v/>
      </c>
      <c r="Z76" s="11" t="str" cm="1">
        <f t="array" ref="Z76">IF($T76="","",_xlfn.XLOOKUP(TRIM($T76),ISE!$L:$L,INDEX(ISE!$N:$T,0,COLUMN()-COLUMN($U$1)+1),""))</f>
        <v/>
      </c>
      <c r="AA76" s="11" t="str" cm="1">
        <f t="array" ref="AA76">IF($T76="","",_xlfn.XLOOKUP(TRIM($T76),ISE!$L:$L,INDEX(ISE!$N:$T,0,COLUMN()-COLUMN($U$1)+1),""))</f>
        <v/>
      </c>
    </row>
    <row r="77" spans="21:27" ht="15.75" customHeight="1">
      <c r="U77" s="11" t="str" cm="1">
        <f t="array" ref="U77">IF($T77="","",_xlfn.XLOOKUP(TRIM($T77),ISE!$L:$L,INDEX(ISE!$N:$T,0,COLUMN()-COLUMN($U$1)+1),""))</f>
        <v/>
      </c>
      <c r="V77" s="11" t="str" cm="1">
        <f t="array" ref="V77">IF($T77="","",_xlfn.XLOOKUP(TRIM($T77),ISE!$L:$L,INDEX(ISE!$N:$T,0,COLUMN()-COLUMN($U$1)+1),""))</f>
        <v/>
      </c>
      <c r="W77" s="11" t="str" cm="1">
        <f t="array" ref="W77">IF($T77="","",_xlfn.XLOOKUP(TRIM($T77),ISE!$L:$L,INDEX(ISE!$N:$T,0,COLUMN()-COLUMN($U$1)+1),""))</f>
        <v/>
      </c>
      <c r="X77" s="11" t="str" cm="1">
        <f t="array" ref="X77">IF($T77="","",_xlfn.XLOOKUP(TRIM($T77),ISE!$L:$L,INDEX(ISE!$N:$T,0,COLUMN()-COLUMN($U$1)+1),""))</f>
        <v/>
      </c>
      <c r="Y77" s="11" t="str" cm="1">
        <f t="array" ref="Y77">IF($T77="","",_xlfn.XLOOKUP(TRIM($T77),ISE!$L:$L,INDEX(ISE!$N:$T,0,COLUMN()-COLUMN($U$1)+1),""))</f>
        <v/>
      </c>
      <c r="Z77" s="11" t="str" cm="1">
        <f t="array" ref="Z77">IF($T77="","",_xlfn.XLOOKUP(TRIM($T77),ISE!$L:$L,INDEX(ISE!$N:$T,0,COLUMN()-COLUMN($U$1)+1),""))</f>
        <v/>
      </c>
      <c r="AA77" s="11" t="str" cm="1">
        <f t="array" ref="AA77">IF($T77="","",_xlfn.XLOOKUP(TRIM($T77),ISE!$L:$L,INDEX(ISE!$N:$T,0,COLUMN()-COLUMN($U$1)+1),""))</f>
        <v/>
      </c>
    </row>
    <row r="78" spans="21:27" ht="15.75" customHeight="1">
      <c r="U78" s="11" t="str" cm="1">
        <f t="array" ref="U78">IF($T78="","",_xlfn.XLOOKUP(TRIM($T78),ISE!$L:$L,INDEX(ISE!$N:$T,0,COLUMN()-COLUMN($U$1)+1),""))</f>
        <v/>
      </c>
      <c r="V78" s="11" t="str" cm="1">
        <f t="array" ref="V78">IF($T78="","",_xlfn.XLOOKUP(TRIM($T78),ISE!$L:$L,INDEX(ISE!$N:$T,0,COLUMN()-COLUMN($U$1)+1),""))</f>
        <v/>
      </c>
      <c r="W78" s="11" t="str" cm="1">
        <f t="array" ref="W78">IF($T78="","",_xlfn.XLOOKUP(TRIM($T78),ISE!$L:$L,INDEX(ISE!$N:$T,0,COLUMN()-COLUMN($U$1)+1),""))</f>
        <v/>
      </c>
      <c r="X78" s="11" t="str" cm="1">
        <f t="array" ref="X78">IF($T78="","",_xlfn.XLOOKUP(TRIM($T78),ISE!$L:$L,INDEX(ISE!$N:$T,0,COLUMN()-COLUMN($U$1)+1),""))</f>
        <v/>
      </c>
      <c r="Y78" s="11" t="str" cm="1">
        <f t="array" ref="Y78">IF($T78="","",_xlfn.XLOOKUP(TRIM($T78),ISE!$L:$L,INDEX(ISE!$N:$T,0,COLUMN()-COLUMN($U$1)+1),""))</f>
        <v/>
      </c>
      <c r="Z78" s="11" t="str" cm="1">
        <f t="array" ref="Z78">IF($T78="","",_xlfn.XLOOKUP(TRIM($T78),ISE!$L:$L,INDEX(ISE!$N:$T,0,COLUMN()-COLUMN($U$1)+1),""))</f>
        <v/>
      </c>
      <c r="AA78" s="11" t="str" cm="1">
        <f t="array" ref="AA78">IF($T78="","",_xlfn.XLOOKUP(TRIM($T78),ISE!$L:$L,INDEX(ISE!$N:$T,0,COLUMN()-COLUMN($U$1)+1),""))</f>
        <v/>
      </c>
    </row>
    <row r="79" spans="21:27" ht="15.75" customHeight="1">
      <c r="U79" s="11" t="str" cm="1">
        <f t="array" ref="U79">IF($T79="","",_xlfn.XLOOKUP(TRIM($T79),ISE!$L:$L,INDEX(ISE!$N:$T,0,COLUMN()-COLUMN($U$1)+1),""))</f>
        <v/>
      </c>
      <c r="V79" s="11" t="str" cm="1">
        <f t="array" ref="V79">IF($T79="","",_xlfn.XLOOKUP(TRIM($T79),ISE!$L:$L,INDEX(ISE!$N:$T,0,COLUMN()-COLUMN($U$1)+1),""))</f>
        <v/>
      </c>
      <c r="W79" s="11" t="str" cm="1">
        <f t="array" ref="W79">IF($T79="","",_xlfn.XLOOKUP(TRIM($T79),ISE!$L:$L,INDEX(ISE!$N:$T,0,COLUMN()-COLUMN($U$1)+1),""))</f>
        <v/>
      </c>
      <c r="X79" s="11" t="str" cm="1">
        <f t="array" ref="X79">IF($T79="","",_xlfn.XLOOKUP(TRIM($T79),ISE!$L:$L,INDEX(ISE!$N:$T,0,COLUMN()-COLUMN($U$1)+1),""))</f>
        <v/>
      </c>
      <c r="Y79" s="11" t="str" cm="1">
        <f t="array" ref="Y79">IF($T79="","",_xlfn.XLOOKUP(TRIM($T79),ISE!$L:$L,INDEX(ISE!$N:$T,0,COLUMN()-COLUMN($U$1)+1),""))</f>
        <v/>
      </c>
      <c r="Z79" s="11" t="str" cm="1">
        <f t="array" ref="Z79">IF($T79="","",_xlfn.XLOOKUP(TRIM($T79),ISE!$L:$L,INDEX(ISE!$N:$T,0,COLUMN()-COLUMN($U$1)+1),""))</f>
        <v/>
      </c>
      <c r="AA79" s="11" t="str" cm="1">
        <f t="array" ref="AA79">IF($T79="","",_xlfn.XLOOKUP(TRIM($T79),ISE!$L:$L,INDEX(ISE!$N:$T,0,COLUMN()-COLUMN($U$1)+1),""))</f>
        <v/>
      </c>
    </row>
    <row r="80" spans="21:27" ht="15.75" customHeight="1">
      <c r="U80" s="11" t="str" cm="1">
        <f t="array" ref="U80">IF($T80="","",_xlfn.XLOOKUP(TRIM($T80),ISE!$L:$L,INDEX(ISE!$N:$T,0,COLUMN()-COLUMN($U$1)+1),""))</f>
        <v/>
      </c>
      <c r="V80" s="11" t="str" cm="1">
        <f t="array" ref="V80">IF($T80="","",_xlfn.XLOOKUP(TRIM($T80),ISE!$L:$L,INDEX(ISE!$N:$T,0,COLUMN()-COLUMN($U$1)+1),""))</f>
        <v/>
      </c>
      <c r="W80" s="11" t="str" cm="1">
        <f t="array" ref="W80">IF($T80="","",_xlfn.XLOOKUP(TRIM($T80),ISE!$L:$L,INDEX(ISE!$N:$T,0,COLUMN()-COLUMN($U$1)+1),""))</f>
        <v/>
      </c>
      <c r="X80" s="11" t="str" cm="1">
        <f t="array" ref="X80">IF($T80="","",_xlfn.XLOOKUP(TRIM($T80),ISE!$L:$L,INDEX(ISE!$N:$T,0,COLUMN()-COLUMN($U$1)+1),""))</f>
        <v/>
      </c>
      <c r="Y80" s="11" t="str" cm="1">
        <f t="array" ref="Y80">IF($T80="","",_xlfn.XLOOKUP(TRIM($T80),ISE!$L:$L,INDEX(ISE!$N:$T,0,COLUMN()-COLUMN($U$1)+1),""))</f>
        <v/>
      </c>
      <c r="Z80" s="11" t="str" cm="1">
        <f t="array" ref="Z80">IF($T80="","",_xlfn.XLOOKUP(TRIM($T80),ISE!$L:$L,INDEX(ISE!$N:$T,0,COLUMN()-COLUMN($U$1)+1),""))</f>
        <v/>
      </c>
      <c r="AA80" s="11" t="str" cm="1">
        <f t="array" ref="AA80">IF($T80="","",_xlfn.XLOOKUP(TRIM($T80),ISE!$L:$L,INDEX(ISE!$N:$T,0,COLUMN()-COLUMN($U$1)+1),""))</f>
        <v/>
      </c>
    </row>
    <row r="81" spans="21:27" ht="15" customHeight="1">
      <c r="U81" s="11" t="str" cm="1">
        <f t="array" ref="U81">IF($T81="","",_xlfn.XLOOKUP(TRIM($T81),ISE!$L:$L,INDEX(ISE!$N:$T,0,COLUMN()-COLUMN($U$1)+1),""))</f>
        <v/>
      </c>
      <c r="V81" s="11" t="str" cm="1">
        <f t="array" ref="V81">IF($T81="","",_xlfn.XLOOKUP(TRIM($T81),ISE!$L:$L,INDEX(ISE!$N:$T,0,COLUMN()-COLUMN($U$1)+1),""))</f>
        <v/>
      </c>
      <c r="W81" s="11" t="str" cm="1">
        <f t="array" ref="W81">IF($T81="","",_xlfn.XLOOKUP(TRIM($T81),ISE!$L:$L,INDEX(ISE!$N:$T,0,COLUMN()-COLUMN($U$1)+1),""))</f>
        <v/>
      </c>
      <c r="X81" s="11" t="str" cm="1">
        <f t="array" ref="X81">IF($T81="","",_xlfn.XLOOKUP(TRIM($T81),ISE!$L:$L,INDEX(ISE!$N:$T,0,COLUMN()-COLUMN($U$1)+1),""))</f>
        <v/>
      </c>
      <c r="Y81" s="11" t="str" cm="1">
        <f t="array" ref="Y81">IF($T81="","",_xlfn.XLOOKUP(TRIM($T81),ISE!$L:$L,INDEX(ISE!$N:$T,0,COLUMN()-COLUMN($U$1)+1),""))</f>
        <v/>
      </c>
      <c r="Z81" s="11" t="str" cm="1">
        <f t="array" ref="Z81">IF($T81="","",_xlfn.XLOOKUP(TRIM($T81),ISE!$L:$L,INDEX(ISE!$N:$T,0,COLUMN()-COLUMN($U$1)+1),""))</f>
        <v/>
      </c>
      <c r="AA81" s="11" t="str" cm="1">
        <f t="array" ref="AA81">IF($T81="","",_xlfn.XLOOKUP(TRIM($T81),ISE!$L:$L,INDEX(ISE!$N:$T,0,COLUMN()-COLUMN($U$1)+1),""))</f>
        <v/>
      </c>
    </row>
    <row r="82" spans="21:27" ht="15.75" customHeight="1">
      <c r="U82" s="11" t="str" cm="1">
        <f t="array" ref="U82">IF($T82="","",_xlfn.XLOOKUP(TRIM($T82),ISE!$L:$L,INDEX(ISE!$N:$T,0,COLUMN()-COLUMN($U$1)+1),""))</f>
        <v/>
      </c>
      <c r="V82" s="11" t="str" cm="1">
        <f t="array" ref="V82">IF($T82="","",_xlfn.XLOOKUP(TRIM($T82),ISE!$L:$L,INDEX(ISE!$N:$T,0,COLUMN()-COLUMN($U$1)+1),""))</f>
        <v/>
      </c>
      <c r="W82" s="11" t="str" cm="1">
        <f t="array" ref="W82">IF($T82="","",_xlfn.XLOOKUP(TRIM($T82),ISE!$L:$L,INDEX(ISE!$N:$T,0,COLUMN()-COLUMN($U$1)+1),""))</f>
        <v/>
      </c>
      <c r="X82" s="11" t="str" cm="1">
        <f t="array" ref="X82">IF($T82="","",_xlfn.XLOOKUP(TRIM($T82),ISE!$L:$L,INDEX(ISE!$N:$T,0,COLUMN()-COLUMN($U$1)+1),""))</f>
        <v/>
      </c>
      <c r="Y82" s="11" t="str" cm="1">
        <f t="array" ref="Y82">IF($T82="","",_xlfn.XLOOKUP(TRIM($T82),ISE!$L:$L,INDEX(ISE!$N:$T,0,COLUMN()-COLUMN($U$1)+1),""))</f>
        <v/>
      </c>
      <c r="Z82" s="11" t="str" cm="1">
        <f t="array" ref="Z82">IF($T82="","",_xlfn.XLOOKUP(TRIM($T82),ISE!$L:$L,INDEX(ISE!$N:$T,0,COLUMN()-COLUMN($U$1)+1),""))</f>
        <v/>
      </c>
      <c r="AA82" s="11" t="str" cm="1">
        <f t="array" ref="AA82">IF($T82="","",_xlfn.XLOOKUP(TRIM($T82),ISE!$L:$L,INDEX(ISE!$N:$T,0,COLUMN()-COLUMN($U$1)+1),""))</f>
        <v/>
      </c>
    </row>
    <row r="83" spans="21:27" ht="15.75" customHeight="1">
      <c r="U83" s="11" t="str" cm="1">
        <f t="array" ref="U83">IF($T83="","",_xlfn.XLOOKUP(TRIM($T83),ISE!$L:$L,INDEX(ISE!$N:$T,0,COLUMN()-COLUMN($U$1)+1),""))</f>
        <v/>
      </c>
      <c r="V83" s="11" t="str" cm="1">
        <f t="array" ref="V83">IF($T83="","",_xlfn.XLOOKUP(TRIM($T83),ISE!$L:$L,INDEX(ISE!$N:$T,0,COLUMN()-COLUMN($U$1)+1),""))</f>
        <v/>
      </c>
      <c r="W83" s="11" t="str" cm="1">
        <f t="array" ref="W83">IF($T83="","",_xlfn.XLOOKUP(TRIM($T83),ISE!$L:$L,INDEX(ISE!$N:$T,0,COLUMN()-COLUMN($U$1)+1),""))</f>
        <v/>
      </c>
      <c r="X83" s="11" t="str" cm="1">
        <f t="array" ref="X83">IF($T83="","",_xlfn.XLOOKUP(TRIM($T83),ISE!$L:$L,INDEX(ISE!$N:$T,0,COLUMN()-COLUMN($U$1)+1),""))</f>
        <v/>
      </c>
      <c r="Y83" s="11" t="str" cm="1">
        <f t="array" ref="Y83">IF($T83="","",_xlfn.XLOOKUP(TRIM($T83),ISE!$L:$L,INDEX(ISE!$N:$T,0,COLUMN()-COLUMN($U$1)+1),""))</f>
        <v/>
      </c>
      <c r="Z83" s="11" t="str" cm="1">
        <f t="array" ref="Z83">IF($T83="","",_xlfn.XLOOKUP(TRIM($T83),ISE!$L:$L,INDEX(ISE!$N:$T,0,COLUMN()-COLUMN($U$1)+1),""))</f>
        <v/>
      </c>
      <c r="AA83" s="11" t="str" cm="1">
        <f t="array" ref="AA83">IF($T83="","",_xlfn.XLOOKUP(TRIM($T83),ISE!$L:$L,INDEX(ISE!$N:$T,0,COLUMN()-COLUMN($U$1)+1),""))</f>
        <v/>
      </c>
    </row>
    <row r="84" spans="21:27" ht="15.75" customHeight="1">
      <c r="U84" s="11" t="str" cm="1">
        <f t="array" ref="U84">IF($T84="","",_xlfn.XLOOKUP(TRIM($T84),ISE!$L:$L,INDEX(ISE!$N:$T,0,COLUMN()-COLUMN($U$1)+1),""))</f>
        <v/>
      </c>
      <c r="V84" s="11" t="str" cm="1">
        <f t="array" ref="V84">IF($T84="","",_xlfn.XLOOKUP(TRIM($T84),ISE!$L:$L,INDEX(ISE!$N:$T,0,COLUMN()-COLUMN($U$1)+1),""))</f>
        <v/>
      </c>
      <c r="W84" s="11" t="str" cm="1">
        <f t="array" ref="W84">IF($T84="","",_xlfn.XLOOKUP(TRIM($T84),ISE!$L:$L,INDEX(ISE!$N:$T,0,COLUMN()-COLUMN($U$1)+1),""))</f>
        <v/>
      </c>
      <c r="X84" s="11" t="str" cm="1">
        <f t="array" ref="X84">IF($T84="","",_xlfn.XLOOKUP(TRIM($T84),ISE!$L:$L,INDEX(ISE!$N:$T,0,COLUMN()-COLUMN($U$1)+1),""))</f>
        <v/>
      </c>
      <c r="Y84" s="11" t="str" cm="1">
        <f t="array" ref="Y84">IF($T84="","",_xlfn.XLOOKUP(TRIM($T84),ISE!$L:$L,INDEX(ISE!$N:$T,0,COLUMN()-COLUMN($U$1)+1),""))</f>
        <v/>
      </c>
      <c r="Z84" s="11" t="str" cm="1">
        <f t="array" ref="Z84">IF($T84="","",_xlfn.XLOOKUP(TRIM($T84),ISE!$L:$L,INDEX(ISE!$N:$T,0,COLUMN()-COLUMN($U$1)+1),""))</f>
        <v/>
      </c>
      <c r="AA84" s="11" t="str" cm="1">
        <f t="array" ref="AA84">IF($T84="","",_xlfn.XLOOKUP(TRIM($T84),ISE!$L:$L,INDEX(ISE!$N:$T,0,COLUMN()-COLUMN($U$1)+1),""))</f>
        <v/>
      </c>
    </row>
    <row r="85" spans="21:27" ht="15.75" customHeight="1">
      <c r="U85" s="11" t="str" cm="1">
        <f t="array" ref="U85">IF($T85="","",_xlfn.XLOOKUP(TRIM($T85),ISE!$L:$L,INDEX(ISE!$N:$T,0,COLUMN()-COLUMN($U$1)+1),""))</f>
        <v/>
      </c>
      <c r="V85" s="11" t="str" cm="1">
        <f t="array" ref="V85">IF($T85="","",_xlfn.XLOOKUP(TRIM($T85),ISE!$L:$L,INDEX(ISE!$N:$T,0,COLUMN()-COLUMN($U$1)+1),""))</f>
        <v/>
      </c>
      <c r="W85" s="11" t="str" cm="1">
        <f t="array" ref="W85">IF($T85="","",_xlfn.XLOOKUP(TRIM($T85),ISE!$L:$L,INDEX(ISE!$N:$T,0,COLUMN()-COLUMN($U$1)+1),""))</f>
        <v/>
      </c>
      <c r="X85" s="11" t="str" cm="1">
        <f t="array" ref="X85">IF($T85="","",_xlfn.XLOOKUP(TRIM($T85),ISE!$L:$L,INDEX(ISE!$N:$T,0,COLUMN()-COLUMN($U$1)+1),""))</f>
        <v/>
      </c>
      <c r="Y85" s="11" t="str" cm="1">
        <f t="array" ref="Y85">IF($T85="","",_xlfn.XLOOKUP(TRIM($T85),ISE!$L:$L,INDEX(ISE!$N:$T,0,COLUMN()-COLUMN($U$1)+1),""))</f>
        <v/>
      </c>
      <c r="Z85" s="11" t="str" cm="1">
        <f t="array" ref="Z85">IF($T85="","",_xlfn.XLOOKUP(TRIM($T85),ISE!$L:$L,INDEX(ISE!$N:$T,0,COLUMN()-COLUMN($U$1)+1),""))</f>
        <v/>
      </c>
      <c r="AA85" s="11" t="str" cm="1">
        <f t="array" ref="AA85">IF($T85="","",_xlfn.XLOOKUP(TRIM($T85),ISE!$L:$L,INDEX(ISE!$N:$T,0,COLUMN()-COLUMN($U$1)+1),""))</f>
        <v/>
      </c>
    </row>
    <row r="86" spans="21:27" ht="15.75" customHeight="1">
      <c r="U86" s="11" t="str" cm="1">
        <f t="array" ref="U86">IF($T86="","",_xlfn.XLOOKUP(TRIM($T86),ISE!$L:$L,INDEX(ISE!$N:$T,0,COLUMN()-COLUMN($U$1)+1),""))</f>
        <v/>
      </c>
      <c r="V86" s="11" t="str" cm="1">
        <f t="array" ref="V86">IF($T86="","",_xlfn.XLOOKUP(TRIM($T86),ISE!$L:$L,INDEX(ISE!$N:$T,0,COLUMN()-COLUMN($U$1)+1),""))</f>
        <v/>
      </c>
      <c r="W86" s="11" t="str" cm="1">
        <f t="array" ref="W86">IF($T86="","",_xlfn.XLOOKUP(TRIM($T86),ISE!$L:$L,INDEX(ISE!$N:$T,0,COLUMN()-COLUMN($U$1)+1),""))</f>
        <v/>
      </c>
      <c r="X86" s="11" t="str" cm="1">
        <f t="array" ref="X86">IF($T86="","",_xlfn.XLOOKUP(TRIM($T86),ISE!$L:$L,INDEX(ISE!$N:$T,0,COLUMN()-COLUMN($U$1)+1),""))</f>
        <v/>
      </c>
      <c r="Y86" s="11" t="str" cm="1">
        <f t="array" ref="Y86">IF($T86="","",_xlfn.XLOOKUP(TRIM($T86),ISE!$L:$L,INDEX(ISE!$N:$T,0,COLUMN()-COLUMN($U$1)+1),""))</f>
        <v/>
      </c>
      <c r="Z86" s="11" t="str" cm="1">
        <f t="array" ref="Z86">IF($T86="","",_xlfn.XLOOKUP(TRIM($T86),ISE!$L:$L,INDEX(ISE!$N:$T,0,COLUMN()-COLUMN($U$1)+1),""))</f>
        <v/>
      </c>
      <c r="AA86" s="11" t="str" cm="1">
        <f t="array" ref="AA86">IF($T86="","",_xlfn.XLOOKUP(TRIM($T86),ISE!$L:$L,INDEX(ISE!$N:$T,0,COLUMN()-COLUMN($U$1)+1),""))</f>
        <v/>
      </c>
    </row>
    <row r="87" spans="21:27" ht="15.75" customHeight="1">
      <c r="U87" s="11" t="str" cm="1">
        <f t="array" ref="U87">IF($T87="","",_xlfn.XLOOKUP(TRIM($T87),ISE!$L:$L,INDEX(ISE!$N:$T,0,COLUMN()-COLUMN($U$1)+1),""))</f>
        <v/>
      </c>
      <c r="V87" s="11" t="str" cm="1">
        <f t="array" ref="V87">IF($T87="","",_xlfn.XLOOKUP(TRIM($T87),ISE!$L:$L,INDEX(ISE!$N:$T,0,COLUMN()-COLUMN($U$1)+1),""))</f>
        <v/>
      </c>
      <c r="W87" s="11" t="str" cm="1">
        <f t="array" ref="W87">IF($T87="","",_xlfn.XLOOKUP(TRIM($T87),ISE!$L:$L,INDEX(ISE!$N:$T,0,COLUMN()-COLUMN($U$1)+1),""))</f>
        <v/>
      </c>
      <c r="X87" s="11" t="str" cm="1">
        <f t="array" ref="X87">IF($T87="","",_xlfn.XLOOKUP(TRIM($T87),ISE!$L:$L,INDEX(ISE!$N:$T,0,COLUMN()-COLUMN($U$1)+1),""))</f>
        <v/>
      </c>
      <c r="Y87" s="11" t="str" cm="1">
        <f t="array" ref="Y87">IF($T87="","",_xlfn.XLOOKUP(TRIM($T87),ISE!$L:$L,INDEX(ISE!$N:$T,0,COLUMN()-COLUMN($U$1)+1),""))</f>
        <v/>
      </c>
      <c r="Z87" s="11" t="str" cm="1">
        <f t="array" ref="Z87">IF($T87="","",_xlfn.XLOOKUP(TRIM($T87),ISE!$L:$L,INDEX(ISE!$N:$T,0,COLUMN()-COLUMN($U$1)+1),""))</f>
        <v/>
      </c>
      <c r="AA87" s="11" t="str" cm="1">
        <f t="array" ref="AA87">IF($T87="","",_xlfn.XLOOKUP(TRIM($T87),ISE!$L:$L,INDEX(ISE!$N:$T,0,COLUMN()-COLUMN($U$1)+1),""))</f>
        <v/>
      </c>
    </row>
    <row r="88" spans="21:27" ht="15.75" customHeight="1">
      <c r="U88" s="11" t="str" cm="1">
        <f t="array" ref="U88">IF($T88="","",_xlfn.XLOOKUP(TRIM($T88),ISE!$L:$L,INDEX(ISE!$N:$T,0,COLUMN()-COLUMN($U$1)+1),""))</f>
        <v/>
      </c>
      <c r="V88" s="11" t="str" cm="1">
        <f t="array" ref="V88">IF($T88="","",_xlfn.XLOOKUP(TRIM($T88),ISE!$L:$L,INDEX(ISE!$N:$T,0,COLUMN()-COLUMN($U$1)+1),""))</f>
        <v/>
      </c>
      <c r="W88" s="11" t="str" cm="1">
        <f t="array" ref="W88">IF($T88="","",_xlfn.XLOOKUP(TRIM($T88),ISE!$L:$L,INDEX(ISE!$N:$T,0,COLUMN()-COLUMN($U$1)+1),""))</f>
        <v/>
      </c>
      <c r="X88" s="11" t="str" cm="1">
        <f t="array" ref="X88">IF($T88="","",_xlfn.XLOOKUP(TRIM($T88),ISE!$L:$L,INDEX(ISE!$N:$T,0,COLUMN()-COLUMN($U$1)+1),""))</f>
        <v/>
      </c>
      <c r="Y88" s="11" t="str" cm="1">
        <f t="array" ref="Y88">IF($T88="","",_xlfn.XLOOKUP(TRIM($T88),ISE!$L:$L,INDEX(ISE!$N:$T,0,COLUMN()-COLUMN($U$1)+1),""))</f>
        <v/>
      </c>
      <c r="Z88" s="11" t="str" cm="1">
        <f t="array" ref="Z88">IF($T88="","",_xlfn.XLOOKUP(TRIM($T88),ISE!$L:$L,INDEX(ISE!$N:$T,0,COLUMN()-COLUMN($U$1)+1),""))</f>
        <v/>
      </c>
      <c r="AA88" s="11" t="str" cm="1">
        <f t="array" ref="AA88">IF($T88="","",_xlfn.XLOOKUP(TRIM($T88),ISE!$L:$L,INDEX(ISE!$N:$T,0,COLUMN()-COLUMN($U$1)+1),""))</f>
        <v/>
      </c>
    </row>
    <row r="89" spans="21:27" ht="15.75" customHeight="1">
      <c r="U89" s="11" t="str" cm="1">
        <f t="array" ref="U89">IF($T89="","",_xlfn.XLOOKUP(TRIM($T89),ISE!$L:$L,INDEX(ISE!$N:$T,0,COLUMN()-COLUMN($U$1)+1),""))</f>
        <v/>
      </c>
      <c r="V89" s="11" t="str" cm="1">
        <f t="array" ref="V89">IF($T89="","",_xlfn.XLOOKUP(TRIM($T89),ISE!$L:$L,INDEX(ISE!$N:$T,0,COLUMN()-COLUMN($U$1)+1),""))</f>
        <v/>
      </c>
      <c r="W89" s="11" t="str" cm="1">
        <f t="array" ref="W89">IF($T89="","",_xlfn.XLOOKUP(TRIM($T89),ISE!$L:$L,INDEX(ISE!$N:$T,0,COLUMN()-COLUMN($U$1)+1),""))</f>
        <v/>
      </c>
      <c r="X89" s="11" t="str" cm="1">
        <f t="array" ref="X89">IF($T89="","",_xlfn.XLOOKUP(TRIM($T89),ISE!$L:$L,INDEX(ISE!$N:$T,0,COLUMN()-COLUMN($U$1)+1),""))</f>
        <v/>
      </c>
      <c r="Y89" s="11" t="str" cm="1">
        <f t="array" ref="Y89">IF($T89="","",_xlfn.XLOOKUP(TRIM($T89),ISE!$L:$L,INDEX(ISE!$N:$T,0,COLUMN()-COLUMN($U$1)+1),""))</f>
        <v/>
      </c>
      <c r="Z89" s="11" t="str" cm="1">
        <f t="array" ref="Z89">IF($T89="","",_xlfn.XLOOKUP(TRIM($T89),ISE!$L:$L,INDEX(ISE!$N:$T,0,COLUMN()-COLUMN($U$1)+1),""))</f>
        <v/>
      </c>
      <c r="AA89" s="11" t="str" cm="1">
        <f t="array" ref="AA89">IF($T89="","",_xlfn.XLOOKUP(TRIM($T89),ISE!$L:$L,INDEX(ISE!$N:$T,0,COLUMN()-COLUMN($U$1)+1),""))</f>
        <v/>
      </c>
    </row>
    <row r="90" spans="21:27" ht="15.75" customHeight="1">
      <c r="U90" s="11" t="str" cm="1">
        <f t="array" ref="U90">IF($T90="","",_xlfn.XLOOKUP(TRIM($T90),ISE!$L:$L,INDEX(ISE!$N:$T,0,COLUMN()-COLUMN($U$1)+1),""))</f>
        <v/>
      </c>
      <c r="V90" s="11" t="str" cm="1">
        <f t="array" ref="V90">IF($T90="","",_xlfn.XLOOKUP(TRIM($T90),ISE!$L:$L,INDEX(ISE!$N:$T,0,COLUMN()-COLUMN($U$1)+1),""))</f>
        <v/>
      </c>
      <c r="W90" s="11" t="str" cm="1">
        <f t="array" ref="W90">IF($T90="","",_xlfn.XLOOKUP(TRIM($T90),ISE!$L:$L,INDEX(ISE!$N:$T,0,COLUMN()-COLUMN($U$1)+1),""))</f>
        <v/>
      </c>
      <c r="X90" s="11" t="str" cm="1">
        <f t="array" ref="X90">IF($T90="","",_xlfn.XLOOKUP(TRIM($T90),ISE!$L:$L,INDEX(ISE!$N:$T,0,COLUMN()-COLUMN($U$1)+1),""))</f>
        <v/>
      </c>
      <c r="Y90" s="11" t="str" cm="1">
        <f t="array" ref="Y90">IF($T90="","",_xlfn.XLOOKUP(TRIM($T90),ISE!$L:$L,INDEX(ISE!$N:$T,0,COLUMN()-COLUMN($U$1)+1),""))</f>
        <v/>
      </c>
      <c r="Z90" s="11" t="str" cm="1">
        <f t="array" ref="Z90">IF($T90="","",_xlfn.XLOOKUP(TRIM($T90),ISE!$L:$L,INDEX(ISE!$N:$T,0,COLUMN()-COLUMN($U$1)+1),""))</f>
        <v/>
      </c>
      <c r="AA90" s="11" t="str" cm="1">
        <f t="array" ref="AA90">IF($T90="","",_xlfn.XLOOKUP(TRIM($T90),ISE!$L:$L,INDEX(ISE!$N:$T,0,COLUMN()-COLUMN($U$1)+1),""))</f>
        <v/>
      </c>
    </row>
    <row r="91" spans="21:27" ht="15.75" customHeight="1">
      <c r="U91" s="11" t="str" cm="1">
        <f t="array" ref="U91">IF($T91="","",_xlfn.XLOOKUP(TRIM($T91),ISE!$L:$L,INDEX(ISE!$N:$T,0,COLUMN()-COLUMN($U$1)+1),""))</f>
        <v/>
      </c>
      <c r="V91" s="11" t="str" cm="1">
        <f t="array" ref="V91">IF($T91="","",_xlfn.XLOOKUP(TRIM($T91),ISE!$L:$L,INDEX(ISE!$N:$T,0,COLUMN()-COLUMN($U$1)+1),""))</f>
        <v/>
      </c>
      <c r="W91" s="11" t="str" cm="1">
        <f t="array" ref="W91">IF($T91="","",_xlfn.XLOOKUP(TRIM($T91),ISE!$L:$L,INDEX(ISE!$N:$T,0,COLUMN()-COLUMN($U$1)+1),""))</f>
        <v/>
      </c>
      <c r="X91" s="11" t="str" cm="1">
        <f t="array" ref="X91">IF($T91="","",_xlfn.XLOOKUP(TRIM($T91),ISE!$L:$L,INDEX(ISE!$N:$T,0,COLUMN()-COLUMN($U$1)+1),""))</f>
        <v/>
      </c>
      <c r="Y91" s="11" t="str" cm="1">
        <f t="array" ref="Y91">IF($T91="","",_xlfn.XLOOKUP(TRIM($T91),ISE!$L:$L,INDEX(ISE!$N:$T,0,COLUMN()-COLUMN($U$1)+1),""))</f>
        <v/>
      </c>
      <c r="Z91" s="11" t="str" cm="1">
        <f t="array" ref="Z91">IF($T91="","",_xlfn.XLOOKUP(TRIM($T91),ISE!$L:$L,INDEX(ISE!$N:$T,0,COLUMN()-COLUMN($U$1)+1),""))</f>
        <v/>
      </c>
      <c r="AA91" s="11" t="str" cm="1">
        <f t="array" ref="AA91">IF($T91="","",_xlfn.XLOOKUP(TRIM($T91),ISE!$L:$L,INDEX(ISE!$N:$T,0,COLUMN()-COLUMN($U$1)+1),""))</f>
        <v/>
      </c>
    </row>
    <row r="92" spans="21:27" ht="15.75" customHeight="1">
      <c r="U92" s="11" t="str" cm="1">
        <f t="array" ref="U92">IF($T92="","",_xlfn.XLOOKUP(TRIM($T92),ISE!$L:$L,INDEX(ISE!$N:$T,0,COLUMN()-COLUMN($U$1)+1),""))</f>
        <v/>
      </c>
      <c r="V92" s="11" t="str" cm="1">
        <f t="array" ref="V92">IF($T92="","",_xlfn.XLOOKUP(TRIM($T92),ISE!$L:$L,INDEX(ISE!$N:$T,0,COLUMN()-COLUMN($U$1)+1),""))</f>
        <v/>
      </c>
      <c r="W92" s="11" t="str" cm="1">
        <f t="array" ref="W92">IF($T92="","",_xlfn.XLOOKUP(TRIM($T92),ISE!$L:$L,INDEX(ISE!$N:$T,0,COLUMN()-COLUMN($U$1)+1),""))</f>
        <v/>
      </c>
      <c r="X92" s="11" t="str" cm="1">
        <f t="array" ref="X92">IF($T92="","",_xlfn.XLOOKUP(TRIM($T92),ISE!$L:$L,INDEX(ISE!$N:$T,0,COLUMN()-COLUMN($U$1)+1),""))</f>
        <v/>
      </c>
      <c r="Y92" s="11" t="str" cm="1">
        <f t="array" ref="Y92">IF($T92="","",_xlfn.XLOOKUP(TRIM($T92),ISE!$L:$L,INDEX(ISE!$N:$T,0,COLUMN()-COLUMN($U$1)+1),""))</f>
        <v/>
      </c>
      <c r="Z92" s="11" t="str" cm="1">
        <f t="array" ref="Z92">IF($T92="","",_xlfn.XLOOKUP(TRIM($T92),ISE!$L:$L,INDEX(ISE!$N:$T,0,COLUMN()-COLUMN($U$1)+1),""))</f>
        <v/>
      </c>
      <c r="AA92" s="11" t="str" cm="1">
        <f t="array" ref="AA92">IF($T92="","",_xlfn.XLOOKUP(TRIM($T92),ISE!$L:$L,INDEX(ISE!$N:$T,0,COLUMN()-COLUMN($U$1)+1),""))</f>
        <v/>
      </c>
    </row>
    <row r="93" spans="21:27" ht="15.75" customHeight="1">
      <c r="U93" s="11" t="str" cm="1">
        <f t="array" ref="U93">IF($T93="","",_xlfn.XLOOKUP(TRIM($T93),ISE!$L:$L,INDEX(ISE!$N:$T,0,COLUMN()-COLUMN($U$1)+1),""))</f>
        <v/>
      </c>
      <c r="V93" s="11" t="str" cm="1">
        <f t="array" ref="V93">IF($T93="","",_xlfn.XLOOKUP(TRIM($T93),ISE!$L:$L,INDEX(ISE!$N:$T,0,COLUMN()-COLUMN($U$1)+1),""))</f>
        <v/>
      </c>
      <c r="W93" s="11" t="str" cm="1">
        <f t="array" ref="W93">IF($T93="","",_xlfn.XLOOKUP(TRIM($T93),ISE!$L:$L,INDEX(ISE!$N:$T,0,COLUMN()-COLUMN($U$1)+1),""))</f>
        <v/>
      </c>
      <c r="X93" s="11" t="str" cm="1">
        <f t="array" ref="X93">IF($T93="","",_xlfn.XLOOKUP(TRIM($T93),ISE!$L:$L,INDEX(ISE!$N:$T,0,COLUMN()-COLUMN($U$1)+1),""))</f>
        <v/>
      </c>
      <c r="Y93" s="11" t="str" cm="1">
        <f t="array" ref="Y93">IF($T93="","",_xlfn.XLOOKUP(TRIM($T93),ISE!$L:$L,INDEX(ISE!$N:$T,0,COLUMN()-COLUMN($U$1)+1),""))</f>
        <v/>
      </c>
      <c r="Z93" s="11" t="str" cm="1">
        <f t="array" ref="Z93">IF($T93="","",_xlfn.XLOOKUP(TRIM($T93),ISE!$L:$L,INDEX(ISE!$N:$T,0,COLUMN()-COLUMN($U$1)+1),""))</f>
        <v/>
      </c>
      <c r="AA93" s="11" t="str" cm="1">
        <f t="array" ref="AA93">IF($T93="","",_xlfn.XLOOKUP(TRIM($T93),ISE!$L:$L,INDEX(ISE!$N:$T,0,COLUMN()-COLUMN($U$1)+1),""))</f>
        <v/>
      </c>
    </row>
    <row r="94" spans="21:27" ht="15.75" customHeight="1">
      <c r="U94" s="11" t="str" cm="1">
        <f t="array" ref="U94">IF($T94="","",_xlfn.XLOOKUP(TRIM($T94),ISE!$L:$L,INDEX(ISE!$N:$T,0,COLUMN()-COLUMN($U$1)+1),""))</f>
        <v/>
      </c>
      <c r="V94" s="11" t="str" cm="1">
        <f t="array" ref="V94">IF($T94="","",_xlfn.XLOOKUP(TRIM($T94),ISE!$L:$L,INDEX(ISE!$N:$T,0,COLUMN()-COLUMN($U$1)+1),""))</f>
        <v/>
      </c>
      <c r="W94" s="11" t="str" cm="1">
        <f t="array" ref="W94">IF($T94="","",_xlfn.XLOOKUP(TRIM($T94),ISE!$L:$L,INDEX(ISE!$N:$T,0,COLUMN()-COLUMN($U$1)+1),""))</f>
        <v/>
      </c>
      <c r="X94" s="11" t="str" cm="1">
        <f t="array" ref="X94">IF($T94="","",_xlfn.XLOOKUP(TRIM($T94),ISE!$L:$L,INDEX(ISE!$N:$T,0,COLUMN()-COLUMN($U$1)+1),""))</f>
        <v/>
      </c>
      <c r="Y94" s="11" t="str" cm="1">
        <f t="array" ref="Y94">IF($T94="","",_xlfn.XLOOKUP(TRIM($T94),ISE!$L:$L,INDEX(ISE!$N:$T,0,COLUMN()-COLUMN($U$1)+1),""))</f>
        <v/>
      </c>
      <c r="Z94" s="11" t="str" cm="1">
        <f t="array" ref="Z94">IF($T94="","",_xlfn.XLOOKUP(TRIM($T94),ISE!$L:$L,INDEX(ISE!$N:$T,0,COLUMN()-COLUMN($U$1)+1),""))</f>
        <v/>
      </c>
      <c r="AA94" s="11" t="str" cm="1">
        <f t="array" ref="AA94">IF($T94="","",_xlfn.XLOOKUP(TRIM($T94),ISE!$L:$L,INDEX(ISE!$N:$T,0,COLUMN()-COLUMN($U$1)+1),""))</f>
        <v/>
      </c>
    </row>
    <row r="95" spans="21:27" ht="15.75" customHeight="1">
      <c r="U95" s="11" t="str" cm="1">
        <f t="array" ref="U95">IF($T95="","",_xlfn.XLOOKUP(TRIM($T95),ISE!$L:$L,INDEX(ISE!$N:$T,0,COLUMN()-COLUMN($U$1)+1),""))</f>
        <v/>
      </c>
      <c r="V95" s="11" t="str" cm="1">
        <f t="array" ref="V95">IF($T95="","",_xlfn.XLOOKUP(TRIM($T95),ISE!$L:$L,INDEX(ISE!$N:$T,0,COLUMN()-COLUMN($U$1)+1),""))</f>
        <v/>
      </c>
      <c r="W95" s="11" t="str" cm="1">
        <f t="array" ref="W95">IF($T95="","",_xlfn.XLOOKUP(TRIM($T95),ISE!$L:$L,INDEX(ISE!$N:$T,0,COLUMN()-COLUMN($U$1)+1),""))</f>
        <v/>
      </c>
      <c r="X95" s="11" t="str" cm="1">
        <f t="array" ref="X95">IF($T95="","",_xlfn.XLOOKUP(TRIM($T95),ISE!$L:$L,INDEX(ISE!$N:$T,0,COLUMN()-COLUMN($U$1)+1),""))</f>
        <v/>
      </c>
      <c r="Y95" s="11" t="str" cm="1">
        <f t="array" ref="Y95">IF($T95="","",_xlfn.XLOOKUP(TRIM($T95),ISE!$L:$L,INDEX(ISE!$N:$T,0,COLUMN()-COLUMN($U$1)+1),""))</f>
        <v/>
      </c>
      <c r="Z95" s="11" t="str" cm="1">
        <f t="array" ref="Z95">IF($T95="","",_xlfn.XLOOKUP(TRIM($T95),ISE!$L:$L,INDEX(ISE!$N:$T,0,COLUMN()-COLUMN($U$1)+1),""))</f>
        <v/>
      </c>
      <c r="AA95" s="11" t="str" cm="1">
        <f t="array" ref="AA95">IF($T95="","",_xlfn.XLOOKUP(TRIM($T95),ISE!$L:$L,INDEX(ISE!$N:$T,0,COLUMN()-COLUMN($U$1)+1),""))</f>
        <v/>
      </c>
    </row>
    <row r="96" spans="21:27" ht="15.75" customHeight="1">
      <c r="U96" s="11" t="str" cm="1">
        <f t="array" ref="U96">IF($T96="","",_xlfn.XLOOKUP(TRIM($T96),ISE!$L:$L,INDEX(ISE!$N:$T,0,COLUMN()-COLUMN($U$1)+1),""))</f>
        <v/>
      </c>
      <c r="V96" s="11" t="str" cm="1">
        <f t="array" ref="V96">IF($T96="","",_xlfn.XLOOKUP(TRIM($T96),ISE!$L:$L,INDEX(ISE!$N:$T,0,COLUMN()-COLUMN($U$1)+1),""))</f>
        <v/>
      </c>
      <c r="W96" s="11" t="str" cm="1">
        <f t="array" ref="W96">IF($T96="","",_xlfn.XLOOKUP(TRIM($T96),ISE!$L:$L,INDEX(ISE!$N:$T,0,COLUMN()-COLUMN($U$1)+1),""))</f>
        <v/>
      </c>
      <c r="X96" s="11" t="str" cm="1">
        <f t="array" ref="X96">IF($T96="","",_xlfn.XLOOKUP(TRIM($T96),ISE!$L:$L,INDEX(ISE!$N:$T,0,COLUMN()-COLUMN($U$1)+1),""))</f>
        <v/>
      </c>
      <c r="Y96" s="11" t="str" cm="1">
        <f t="array" ref="Y96">IF($T96="","",_xlfn.XLOOKUP(TRIM($T96),ISE!$L:$L,INDEX(ISE!$N:$T,0,COLUMN()-COLUMN($U$1)+1),""))</f>
        <v/>
      </c>
      <c r="Z96" s="11" t="str" cm="1">
        <f t="array" ref="Z96">IF($T96="","",_xlfn.XLOOKUP(TRIM($T96),ISE!$L:$L,INDEX(ISE!$N:$T,0,COLUMN()-COLUMN($U$1)+1),""))</f>
        <v/>
      </c>
      <c r="AA96" s="11" t="str" cm="1">
        <f t="array" ref="AA96">IF($T96="","",_xlfn.XLOOKUP(TRIM($T96),ISE!$L:$L,INDEX(ISE!$N:$T,0,COLUMN()-COLUMN($U$1)+1),""))</f>
        <v/>
      </c>
    </row>
    <row r="97" spans="21:27" ht="15.75" customHeight="1">
      <c r="U97" s="11" t="str" cm="1">
        <f t="array" ref="U97">IF($T97="","",_xlfn.XLOOKUP(TRIM($T97),ISE!$L:$L,INDEX(ISE!$N:$T,0,COLUMN()-COLUMN($U$1)+1),""))</f>
        <v/>
      </c>
      <c r="V97" s="11" t="str" cm="1">
        <f t="array" ref="V97">IF($T97="","",_xlfn.XLOOKUP(TRIM($T97),ISE!$L:$L,INDEX(ISE!$N:$T,0,COLUMN()-COLUMN($U$1)+1),""))</f>
        <v/>
      </c>
      <c r="W97" s="11" t="str" cm="1">
        <f t="array" ref="W97">IF($T97="","",_xlfn.XLOOKUP(TRIM($T97),ISE!$L:$L,INDEX(ISE!$N:$T,0,COLUMN()-COLUMN($U$1)+1),""))</f>
        <v/>
      </c>
      <c r="X97" s="11" t="str" cm="1">
        <f t="array" ref="X97">IF($T97="","",_xlfn.XLOOKUP(TRIM($T97),ISE!$L:$L,INDEX(ISE!$N:$T,0,COLUMN()-COLUMN($U$1)+1),""))</f>
        <v/>
      </c>
      <c r="Y97" s="11" t="str" cm="1">
        <f t="array" ref="Y97">IF($T97="","",_xlfn.XLOOKUP(TRIM($T97),ISE!$L:$L,INDEX(ISE!$N:$T,0,COLUMN()-COLUMN($U$1)+1),""))</f>
        <v/>
      </c>
      <c r="Z97" s="11" t="str" cm="1">
        <f t="array" ref="Z97">IF($T97="","",_xlfn.XLOOKUP(TRIM($T97),ISE!$L:$L,INDEX(ISE!$N:$T,0,COLUMN()-COLUMN($U$1)+1),""))</f>
        <v/>
      </c>
      <c r="AA97" s="11" t="str" cm="1">
        <f t="array" ref="AA97">IF($T97="","",_xlfn.XLOOKUP(TRIM($T97),ISE!$L:$L,INDEX(ISE!$N:$T,0,COLUMN()-COLUMN($U$1)+1),""))</f>
        <v/>
      </c>
    </row>
    <row r="98" spans="21:27" ht="15.75" customHeight="1">
      <c r="U98" s="11" t="str" cm="1">
        <f t="array" ref="U98">IF($T98="","",_xlfn.XLOOKUP(TRIM($T98),ISE!$L:$L,INDEX(ISE!$N:$T,0,COLUMN()-COLUMN($U$1)+1),""))</f>
        <v/>
      </c>
      <c r="V98" s="11" t="str" cm="1">
        <f t="array" ref="V98">IF($T98="","",_xlfn.XLOOKUP(TRIM($T98),ISE!$L:$L,INDEX(ISE!$N:$T,0,COLUMN()-COLUMN($U$1)+1),""))</f>
        <v/>
      </c>
      <c r="W98" s="11" t="str" cm="1">
        <f t="array" ref="W98">IF($T98="","",_xlfn.XLOOKUP(TRIM($T98),ISE!$L:$L,INDEX(ISE!$N:$T,0,COLUMN()-COLUMN($U$1)+1),""))</f>
        <v/>
      </c>
      <c r="X98" s="11" t="str" cm="1">
        <f t="array" ref="X98">IF($T98="","",_xlfn.XLOOKUP(TRIM($T98),ISE!$L:$L,INDEX(ISE!$N:$T,0,COLUMN()-COLUMN($U$1)+1),""))</f>
        <v/>
      </c>
      <c r="Y98" s="11" t="str" cm="1">
        <f t="array" ref="Y98">IF($T98="","",_xlfn.XLOOKUP(TRIM($T98),ISE!$L:$L,INDEX(ISE!$N:$T,0,COLUMN()-COLUMN($U$1)+1),""))</f>
        <v/>
      </c>
      <c r="Z98" s="11" t="str" cm="1">
        <f t="array" ref="Z98">IF($T98="","",_xlfn.XLOOKUP(TRIM($T98),ISE!$L:$L,INDEX(ISE!$N:$T,0,COLUMN()-COLUMN($U$1)+1),""))</f>
        <v/>
      </c>
      <c r="AA98" s="11" t="str" cm="1">
        <f t="array" ref="AA98">IF($T98="","",_xlfn.XLOOKUP(TRIM($T98),ISE!$L:$L,INDEX(ISE!$N:$T,0,COLUMN()-COLUMN($U$1)+1),""))</f>
        <v/>
      </c>
    </row>
    <row r="99" spans="21:27" ht="15.75" customHeight="1">
      <c r="U99" s="11" t="str" cm="1">
        <f t="array" ref="U99">IF($T99="","",_xlfn.XLOOKUP(TRIM($T99),ISE!$L:$L,INDEX(ISE!$N:$T,0,COLUMN()-COLUMN($U$1)+1),""))</f>
        <v/>
      </c>
      <c r="V99" s="11" t="str" cm="1">
        <f t="array" ref="V99">IF($T99="","",_xlfn.XLOOKUP(TRIM($T99),ISE!$L:$L,INDEX(ISE!$N:$T,0,COLUMN()-COLUMN($U$1)+1),""))</f>
        <v/>
      </c>
      <c r="W99" s="11" t="str" cm="1">
        <f t="array" ref="W99">IF($T99="","",_xlfn.XLOOKUP(TRIM($T99),ISE!$L:$L,INDEX(ISE!$N:$T,0,COLUMN()-COLUMN($U$1)+1),""))</f>
        <v/>
      </c>
      <c r="X99" s="11" t="str" cm="1">
        <f t="array" ref="X99">IF($T99="","",_xlfn.XLOOKUP(TRIM($T99),ISE!$L:$L,INDEX(ISE!$N:$T,0,COLUMN()-COLUMN($U$1)+1),""))</f>
        <v/>
      </c>
      <c r="Y99" s="11" t="str" cm="1">
        <f t="array" ref="Y99">IF($T99="","",_xlfn.XLOOKUP(TRIM($T99),ISE!$L:$L,INDEX(ISE!$N:$T,0,COLUMN()-COLUMN($U$1)+1),""))</f>
        <v/>
      </c>
      <c r="Z99" s="11" t="str" cm="1">
        <f t="array" ref="Z99">IF($T99="","",_xlfn.XLOOKUP(TRIM($T99),ISE!$L:$L,INDEX(ISE!$N:$T,0,COLUMN()-COLUMN($U$1)+1),""))</f>
        <v/>
      </c>
      <c r="AA99" s="11" t="str" cm="1">
        <f t="array" ref="AA99">IF($T99="","",_xlfn.XLOOKUP(TRIM($T99),ISE!$L:$L,INDEX(ISE!$N:$T,0,COLUMN()-COLUMN($U$1)+1),""))</f>
        <v/>
      </c>
    </row>
    <row r="100" spans="21:27" ht="15.75" customHeight="1">
      <c r="U100" s="11" t="str" cm="1">
        <f t="array" ref="U100">IF($T100="","",_xlfn.XLOOKUP(TRIM($T100),ISE!$L:$L,INDEX(ISE!$N:$T,0,COLUMN()-COLUMN($U$1)+1),""))</f>
        <v/>
      </c>
      <c r="V100" s="11" t="str" cm="1">
        <f t="array" ref="V100">IF($T100="","",_xlfn.XLOOKUP(TRIM($T100),ISE!$L:$L,INDEX(ISE!$N:$T,0,COLUMN()-COLUMN($U$1)+1),""))</f>
        <v/>
      </c>
      <c r="W100" s="11" t="str" cm="1">
        <f t="array" ref="W100">IF($T100="","",_xlfn.XLOOKUP(TRIM($T100),ISE!$L:$L,INDEX(ISE!$N:$T,0,COLUMN()-COLUMN($U$1)+1),""))</f>
        <v/>
      </c>
      <c r="X100" s="11" t="str" cm="1">
        <f t="array" ref="X100">IF($T100="","",_xlfn.XLOOKUP(TRIM($T100),ISE!$L:$L,INDEX(ISE!$N:$T,0,COLUMN()-COLUMN($U$1)+1),""))</f>
        <v/>
      </c>
      <c r="Y100" s="11" t="str" cm="1">
        <f t="array" ref="Y100">IF($T100="","",_xlfn.XLOOKUP(TRIM($T100),ISE!$L:$L,INDEX(ISE!$N:$T,0,COLUMN()-COLUMN($U$1)+1),""))</f>
        <v/>
      </c>
      <c r="Z100" s="11" t="str" cm="1">
        <f t="array" ref="Z100">IF($T100="","",_xlfn.XLOOKUP(TRIM($T100),ISE!$L:$L,INDEX(ISE!$N:$T,0,COLUMN()-COLUMN($U$1)+1),""))</f>
        <v/>
      </c>
      <c r="AA100" s="11" t="str" cm="1">
        <f t="array" ref="AA100">IF($T100="","",_xlfn.XLOOKUP(TRIM($T100),ISE!$L:$L,INDEX(ISE!$N:$T,0,COLUMN()-COLUMN($U$1)+1),""))</f>
        <v/>
      </c>
    </row>
    <row r="101" spans="21:27" ht="15.75" customHeight="1">
      <c r="U101" s="11" t="str" cm="1">
        <f t="array" ref="U101">IF($T101="","",_xlfn.XLOOKUP(TRIM($T101),ISE!$L:$L,INDEX(ISE!$N:$T,0,COLUMN()-COLUMN($U$1)+1),""))</f>
        <v/>
      </c>
      <c r="V101" s="11" t="str" cm="1">
        <f t="array" ref="V101">IF($T101="","",_xlfn.XLOOKUP(TRIM($T101),ISE!$L:$L,INDEX(ISE!$N:$T,0,COLUMN()-COLUMN($U$1)+1),""))</f>
        <v/>
      </c>
      <c r="W101" s="11" t="str" cm="1">
        <f t="array" ref="W101">IF($T101="","",_xlfn.XLOOKUP(TRIM($T101),ISE!$L:$L,INDEX(ISE!$N:$T,0,COLUMN()-COLUMN($U$1)+1),""))</f>
        <v/>
      </c>
      <c r="X101" s="11" t="str" cm="1">
        <f t="array" ref="X101">IF($T101="","",_xlfn.XLOOKUP(TRIM($T101),ISE!$L:$L,INDEX(ISE!$N:$T,0,COLUMN()-COLUMN($U$1)+1),""))</f>
        <v/>
      </c>
      <c r="Y101" s="11" t="str" cm="1">
        <f t="array" ref="Y101">IF($T101="","",_xlfn.XLOOKUP(TRIM($T101),ISE!$L:$L,INDEX(ISE!$N:$T,0,COLUMN()-COLUMN($U$1)+1),""))</f>
        <v/>
      </c>
      <c r="Z101" s="11" t="str" cm="1">
        <f t="array" ref="Z101">IF($T101="","",_xlfn.XLOOKUP(TRIM($T101),ISE!$L:$L,INDEX(ISE!$N:$T,0,COLUMN()-COLUMN($U$1)+1),""))</f>
        <v/>
      </c>
      <c r="AA101" s="11" t="str" cm="1">
        <f t="array" ref="AA101">IF($T101="","",_xlfn.XLOOKUP(TRIM($T101),ISE!$L:$L,INDEX(ISE!$N:$T,0,COLUMN()-COLUMN($U$1)+1),""))</f>
        <v/>
      </c>
    </row>
    <row r="102" spans="21:27" ht="15.75" customHeight="1">
      <c r="U102" s="11" t="str" cm="1">
        <f t="array" ref="U102">IF($T102="","",_xlfn.XLOOKUP(TRIM($T102),ISE!$L:$L,INDEX(ISE!$N:$T,0,COLUMN()-COLUMN($U$1)+1),""))</f>
        <v/>
      </c>
      <c r="V102" s="11" t="str" cm="1">
        <f t="array" ref="V102">IF($T102="","",_xlfn.XLOOKUP(TRIM($T102),ISE!$L:$L,INDEX(ISE!$N:$T,0,COLUMN()-COLUMN($U$1)+1),""))</f>
        <v/>
      </c>
      <c r="W102" s="11" t="str" cm="1">
        <f t="array" ref="W102">IF($T102="","",_xlfn.XLOOKUP(TRIM($T102),ISE!$L:$L,INDEX(ISE!$N:$T,0,COLUMN()-COLUMN($U$1)+1),""))</f>
        <v/>
      </c>
      <c r="X102" s="11" t="str" cm="1">
        <f t="array" ref="X102">IF($T102="","",_xlfn.XLOOKUP(TRIM($T102),ISE!$L:$L,INDEX(ISE!$N:$T,0,COLUMN()-COLUMN($U$1)+1),""))</f>
        <v/>
      </c>
      <c r="Y102" s="11" t="str" cm="1">
        <f t="array" ref="Y102">IF($T102="","",_xlfn.XLOOKUP(TRIM($T102),ISE!$L:$L,INDEX(ISE!$N:$T,0,COLUMN()-COLUMN($U$1)+1),""))</f>
        <v/>
      </c>
      <c r="Z102" s="11" t="str" cm="1">
        <f t="array" ref="Z102">IF($T102="","",_xlfn.XLOOKUP(TRIM($T102),ISE!$L:$L,INDEX(ISE!$N:$T,0,COLUMN()-COLUMN($U$1)+1),""))</f>
        <v/>
      </c>
      <c r="AA102" s="11" t="str" cm="1">
        <f t="array" ref="AA102">IF($T102="","",_xlfn.XLOOKUP(TRIM($T102),ISE!$L:$L,INDEX(ISE!$N:$T,0,COLUMN()-COLUMN($U$1)+1),""))</f>
        <v/>
      </c>
    </row>
    <row r="103" spans="21:27" ht="15.75" customHeight="1">
      <c r="U103" s="11" t="str" cm="1">
        <f t="array" ref="U103">IF($T103="","",_xlfn.XLOOKUP(TRIM($T103),ISE!$L:$L,INDEX(ISE!$N:$T,0,COLUMN()-COLUMN($U$1)+1),""))</f>
        <v/>
      </c>
      <c r="V103" s="11" t="str" cm="1">
        <f t="array" ref="V103">IF($T103="","",_xlfn.XLOOKUP(TRIM($T103),ISE!$L:$L,INDEX(ISE!$N:$T,0,COLUMN()-COLUMN($U$1)+1),""))</f>
        <v/>
      </c>
      <c r="W103" s="11" t="str" cm="1">
        <f t="array" ref="W103">IF($T103="","",_xlfn.XLOOKUP(TRIM($T103),ISE!$L:$L,INDEX(ISE!$N:$T,0,COLUMN()-COLUMN($U$1)+1),""))</f>
        <v/>
      </c>
      <c r="X103" s="11" t="str" cm="1">
        <f t="array" ref="X103">IF($T103="","",_xlfn.XLOOKUP(TRIM($T103),ISE!$L:$L,INDEX(ISE!$N:$T,0,COLUMN()-COLUMN($U$1)+1),""))</f>
        <v/>
      </c>
      <c r="Y103" s="11" t="str" cm="1">
        <f t="array" ref="Y103">IF($T103="","",_xlfn.XLOOKUP(TRIM($T103),ISE!$L:$L,INDEX(ISE!$N:$T,0,COLUMN()-COLUMN($U$1)+1),""))</f>
        <v/>
      </c>
      <c r="Z103" s="11" t="str" cm="1">
        <f t="array" ref="Z103">IF($T103="","",_xlfn.XLOOKUP(TRIM($T103),ISE!$L:$L,INDEX(ISE!$N:$T,0,COLUMN()-COLUMN($U$1)+1),""))</f>
        <v/>
      </c>
      <c r="AA103" s="11" t="str" cm="1">
        <f t="array" ref="AA103">IF($T103="","",_xlfn.XLOOKUP(TRIM($T103),ISE!$L:$L,INDEX(ISE!$N:$T,0,COLUMN()-COLUMN($U$1)+1),""))</f>
        <v/>
      </c>
    </row>
    <row r="104" spans="21:27" ht="15.75" customHeight="1">
      <c r="U104" s="11" t="str" cm="1">
        <f t="array" ref="U104">IF($T104="","",_xlfn.XLOOKUP(TRIM($T104),ISE!$L:$L,INDEX(ISE!$N:$T,0,COLUMN()-COLUMN($U$1)+1),""))</f>
        <v/>
      </c>
      <c r="V104" s="11" t="str" cm="1">
        <f t="array" ref="V104">IF($T104="","",_xlfn.XLOOKUP(TRIM($T104),ISE!$L:$L,INDEX(ISE!$N:$T,0,COLUMN()-COLUMN($U$1)+1),""))</f>
        <v/>
      </c>
      <c r="W104" s="11" t="str" cm="1">
        <f t="array" ref="W104">IF($T104="","",_xlfn.XLOOKUP(TRIM($T104),ISE!$L:$L,INDEX(ISE!$N:$T,0,COLUMN()-COLUMN($U$1)+1),""))</f>
        <v/>
      </c>
      <c r="X104" s="11" t="str" cm="1">
        <f t="array" ref="X104">IF($T104="","",_xlfn.XLOOKUP(TRIM($T104),ISE!$L:$L,INDEX(ISE!$N:$T,0,COLUMN()-COLUMN($U$1)+1),""))</f>
        <v/>
      </c>
      <c r="Y104" s="11" t="str" cm="1">
        <f t="array" ref="Y104">IF($T104="","",_xlfn.XLOOKUP(TRIM($T104),ISE!$L:$L,INDEX(ISE!$N:$T,0,COLUMN()-COLUMN($U$1)+1),""))</f>
        <v/>
      </c>
      <c r="Z104" s="11" t="str" cm="1">
        <f t="array" ref="Z104">IF($T104="","",_xlfn.XLOOKUP(TRIM($T104),ISE!$L:$L,INDEX(ISE!$N:$T,0,COLUMN()-COLUMN($U$1)+1),""))</f>
        <v/>
      </c>
      <c r="AA104" s="11" t="str" cm="1">
        <f t="array" ref="AA104">IF($T104="","",_xlfn.XLOOKUP(TRIM($T104),ISE!$L:$L,INDEX(ISE!$N:$T,0,COLUMN()-COLUMN($U$1)+1),""))</f>
        <v/>
      </c>
    </row>
  </sheetData>
  <mergeCells count="9">
    <mergeCell ref="K39:S39"/>
    <mergeCell ref="K5:R5"/>
    <mergeCell ref="K26:R26"/>
    <mergeCell ref="T5:AA5"/>
    <mergeCell ref="T15:AA15"/>
    <mergeCell ref="B5:B6"/>
    <mergeCell ref="C5:I5"/>
    <mergeCell ref="B26:B27"/>
    <mergeCell ref="C26:I26"/>
  </mergeCells>
  <conditionalFormatting sqref="B5">
    <cfRule type="cellIs" dxfId="15" priority="1" operator="equal">
      <formula>14</formula>
    </cfRule>
    <cfRule type="cellIs" dxfId="14" priority="2" operator="lessThan">
      <formula>14</formula>
    </cfRule>
  </conditionalFormatting>
  <conditionalFormatting sqref="B26">
    <cfRule type="cellIs" dxfId="13" priority="3" operator="equal">
      <formula>14</formula>
    </cfRule>
    <cfRule type="cellIs" dxfId="12" priority="4" operator="lessThan">
      <formula>14</formula>
    </cfRule>
  </conditionalFormatting>
  <pageMargins left="0.7" right="0.7" top="0.75" bottom="0.75" header="0.3" footer="0.3"/>
  <pageSetup orientation="portrait" r:id="rId1"/>
  <headerFooter>
    <oddFooter>&amp;L_x000D_&amp;1#&amp;"Aptos"&amp;10&amp;K000000 Collins Foods - Sensitive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6D0B-FEB0-4596-B8A9-A3C084A21080}">
  <dimension ref="A1:AQ30"/>
  <sheetViews>
    <sheetView workbookViewId="0">
      <selection activeCell="L41" sqref="L41"/>
    </sheetView>
  </sheetViews>
  <sheetFormatPr defaultRowHeight="15"/>
  <sheetData>
    <row r="1" spans="1:43">
      <c r="A1" s="43" t="s">
        <v>179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</row>
    <row r="2" spans="1:43">
      <c r="A2" s="43" t="s">
        <v>180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</row>
    <row r="3" spans="1:43">
      <c r="A3" s="43"/>
      <c r="B3" s="43" t="s">
        <v>180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</row>
    <row r="4" spans="1:43">
      <c r="A4" s="43"/>
      <c r="B4" s="43" t="s">
        <v>239</v>
      </c>
      <c r="C4" s="43" t="s">
        <v>239</v>
      </c>
      <c r="D4" s="43" t="s">
        <v>239</v>
      </c>
      <c r="E4" s="43" t="s">
        <v>239</v>
      </c>
      <c r="F4" s="43" t="s">
        <v>239</v>
      </c>
      <c r="G4" s="43"/>
      <c r="H4" s="43" t="s">
        <v>239</v>
      </c>
      <c r="I4" s="43" t="s">
        <v>239</v>
      </c>
      <c r="J4" s="43" t="s">
        <v>239</v>
      </c>
      <c r="K4" s="43" t="s">
        <v>239</v>
      </c>
      <c r="L4" s="43" t="s">
        <v>239</v>
      </c>
      <c r="M4" s="43"/>
      <c r="N4" s="43" t="s">
        <v>239</v>
      </c>
      <c r="O4" s="43" t="s">
        <v>239</v>
      </c>
      <c r="P4" s="43" t="s">
        <v>239</v>
      </c>
      <c r="Q4" s="43" t="s">
        <v>239</v>
      </c>
      <c r="R4" s="43" t="s">
        <v>239</v>
      </c>
      <c r="S4" s="43"/>
      <c r="T4" s="43" t="s">
        <v>239</v>
      </c>
      <c r="U4" s="43" t="s">
        <v>239</v>
      </c>
      <c r="V4" s="43" t="s">
        <v>239</v>
      </c>
      <c r="W4" s="43" t="s">
        <v>239</v>
      </c>
      <c r="X4" s="43" t="s">
        <v>239</v>
      </c>
      <c r="Y4" s="43"/>
      <c r="Z4" s="43" t="s">
        <v>239</v>
      </c>
      <c r="AA4" s="43" t="s">
        <v>239</v>
      </c>
      <c r="AB4" s="43" t="s">
        <v>239</v>
      </c>
      <c r="AC4" s="43" t="s">
        <v>239</v>
      </c>
      <c r="AD4" s="43" t="s">
        <v>239</v>
      </c>
      <c r="AE4" s="43"/>
      <c r="AF4" s="43" t="s">
        <v>239</v>
      </c>
      <c r="AG4" s="43" t="s">
        <v>239</v>
      </c>
      <c r="AH4" s="43" t="s">
        <v>239</v>
      </c>
      <c r="AI4" s="43" t="s">
        <v>239</v>
      </c>
      <c r="AJ4" s="43" t="s">
        <v>239</v>
      </c>
      <c r="AK4" s="43"/>
      <c r="AL4" s="43" t="s">
        <v>239</v>
      </c>
      <c r="AM4" s="43" t="s">
        <v>239</v>
      </c>
      <c r="AN4" s="43" t="s">
        <v>239</v>
      </c>
      <c r="AO4" s="43" t="s">
        <v>239</v>
      </c>
      <c r="AP4" s="43" t="s">
        <v>239</v>
      </c>
      <c r="AQ4" s="43"/>
    </row>
    <row r="5" spans="1:43">
      <c r="A5" s="43"/>
      <c r="B5" s="43" t="s">
        <v>181</v>
      </c>
      <c r="C5" s="43" t="s">
        <v>181</v>
      </c>
      <c r="D5" s="43" t="s">
        <v>181</v>
      </c>
      <c r="E5" s="43" t="s">
        <v>181</v>
      </c>
      <c r="F5" s="43" t="s">
        <v>181</v>
      </c>
      <c r="G5" s="43" t="s">
        <v>182</v>
      </c>
      <c r="H5" s="43" t="s">
        <v>183</v>
      </c>
      <c r="I5" s="43" t="s">
        <v>183</v>
      </c>
      <c r="J5" s="43" t="s">
        <v>183</v>
      </c>
      <c r="K5" s="43" t="s">
        <v>183</v>
      </c>
      <c r="L5" s="43" t="s">
        <v>183</v>
      </c>
      <c r="M5" s="43" t="s">
        <v>184</v>
      </c>
      <c r="N5" s="43" t="s">
        <v>185</v>
      </c>
      <c r="O5" s="43" t="s">
        <v>185</v>
      </c>
      <c r="P5" s="43" t="s">
        <v>185</v>
      </c>
      <c r="Q5" s="43" t="s">
        <v>185</v>
      </c>
      <c r="R5" s="43" t="s">
        <v>185</v>
      </c>
      <c r="S5" s="43" t="s">
        <v>186</v>
      </c>
      <c r="T5" s="43" t="s">
        <v>187</v>
      </c>
      <c r="U5" s="43" t="s">
        <v>187</v>
      </c>
      <c r="V5" s="43" t="s">
        <v>187</v>
      </c>
      <c r="W5" s="43" t="s">
        <v>187</v>
      </c>
      <c r="X5" s="43" t="s">
        <v>187</v>
      </c>
      <c r="Y5" s="43" t="s">
        <v>188</v>
      </c>
      <c r="Z5" s="43" t="s">
        <v>189</v>
      </c>
      <c r="AA5" s="43" t="s">
        <v>189</v>
      </c>
      <c r="AB5" s="43" t="s">
        <v>189</v>
      </c>
      <c r="AC5" s="43" t="s">
        <v>189</v>
      </c>
      <c r="AD5" s="43" t="s">
        <v>189</v>
      </c>
      <c r="AE5" s="43" t="s">
        <v>190</v>
      </c>
      <c r="AF5" s="43" t="s">
        <v>191</v>
      </c>
      <c r="AG5" s="43" t="s">
        <v>191</v>
      </c>
      <c r="AH5" s="43" t="s">
        <v>191</v>
      </c>
      <c r="AI5" s="43" t="s">
        <v>191</v>
      </c>
      <c r="AJ5" s="43" t="s">
        <v>191</v>
      </c>
      <c r="AK5" s="43" t="s">
        <v>192</v>
      </c>
      <c r="AL5" s="43" t="s">
        <v>193</v>
      </c>
      <c r="AM5" s="43" t="s">
        <v>193</v>
      </c>
      <c r="AN5" s="43" t="s">
        <v>193</v>
      </c>
      <c r="AO5" s="43" t="s">
        <v>193</v>
      </c>
      <c r="AP5" s="43" t="s">
        <v>193</v>
      </c>
      <c r="AQ5" s="43" t="s">
        <v>194</v>
      </c>
    </row>
    <row r="6" spans="1:43">
      <c r="A6" s="43"/>
      <c r="B6" s="43" t="s">
        <v>180</v>
      </c>
      <c r="C6" s="43" t="s">
        <v>180</v>
      </c>
      <c r="D6" s="43" t="s">
        <v>180</v>
      </c>
      <c r="E6" s="94">
        <v>46209</v>
      </c>
      <c r="F6" s="43" t="s">
        <v>180</v>
      </c>
      <c r="G6" s="43"/>
      <c r="H6" s="43" t="s">
        <v>180</v>
      </c>
      <c r="I6" s="43" t="s">
        <v>180</v>
      </c>
      <c r="J6" s="43" t="s">
        <v>180</v>
      </c>
      <c r="K6" s="94">
        <v>46210</v>
      </c>
      <c r="L6" s="43" t="s">
        <v>180</v>
      </c>
      <c r="M6" s="43"/>
      <c r="N6" s="43" t="s">
        <v>180</v>
      </c>
      <c r="O6" s="43" t="s">
        <v>180</v>
      </c>
      <c r="P6" s="94">
        <v>46204</v>
      </c>
      <c r="Q6" s="94">
        <v>46211</v>
      </c>
      <c r="R6" s="43" t="s">
        <v>180</v>
      </c>
      <c r="S6" s="43"/>
      <c r="T6" s="43" t="s">
        <v>180</v>
      </c>
      <c r="U6" s="43" t="s">
        <v>180</v>
      </c>
      <c r="V6" s="94">
        <v>46205</v>
      </c>
      <c r="W6" s="94">
        <v>46212</v>
      </c>
      <c r="X6" s="43" t="s">
        <v>180</v>
      </c>
      <c r="Y6" s="43"/>
      <c r="Z6" s="43" t="s">
        <v>180</v>
      </c>
      <c r="AA6" s="43" t="s">
        <v>180</v>
      </c>
      <c r="AB6" s="94">
        <v>46206</v>
      </c>
      <c r="AC6" s="43" t="s">
        <v>180</v>
      </c>
      <c r="AD6" s="43" t="s">
        <v>180</v>
      </c>
      <c r="AE6" s="43"/>
      <c r="AF6" s="43" t="s">
        <v>180</v>
      </c>
      <c r="AG6" s="43" t="s">
        <v>180</v>
      </c>
      <c r="AH6" s="94">
        <v>46207</v>
      </c>
      <c r="AI6" s="43" t="s">
        <v>180</v>
      </c>
      <c r="AJ6" s="43" t="s">
        <v>180</v>
      </c>
      <c r="AK6" s="43"/>
      <c r="AL6" s="43" t="s">
        <v>180</v>
      </c>
      <c r="AM6" s="43" t="s">
        <v>180</v>
      </c>
      <c r="AN6" s="43" t="s">
        <v>180</v>
      </c>
      <c r="AO6" s="94">
        <v>46208</v>
      </c>
      <c r="AP6" s="43" t="s">
        <v>180</v>
      </c>
      <c r="AQ6" s="43"/>
    </row>
    <row r="7" spans="1:43">
      <c r="A7" s="43" t="s">
        <v>240</v>
      </c>
      <c r="B7" s="43"/>
      <c r="C7" s="43"/>
      <c r="D7" s="43"/>
      <c r="E7" s="43"/>
      <c r="F7" s="43"/>
      <c r="G7" s="43">
        <v>0</v>
      </c>
      <c r="H7" s="43"/>
      <c r="I7" s="43"/>
      <c r="J7" s="43"/>
      <c r="K7" s="43"/>
      <c r="L7" s="43"/>
      <c r="M7" s="43">
        <v>0</v>
      </c>
      <c r="N7" s="43"/>
      <c r="O7" s="43"/>
      <c r="P7" s="43"/>
      <c r="Q7" s="43"/>
      <c r="R7" s="43"/>
      <c r="S7" s="43">
        <v>0</v>
      </c>
      <c r="T7" s="43"/>
      <c r="U7" s="43"/>
      <c r="V7" s="43"/>
      <c r="W7" s="43"/>
      <c r="X7" s="43"/>
      <c r="Y7" s="43">
        <v>0</v>
      </c>
      <c r="Z7" s="43"/>
      <c r="AA7" s="43"/>
      <c r="AB7" s="43"/>
      <c r="AC7" s="43"/>
      <c r="AD7" s="43"/>
      <c r="AE7" s="43">
        <v>0</v>
      </c>
      <c r="AF7" s="43"/>
      <c r="AG7" s="43"/>
      <c r="AH7" s="43"/>
      <c r="AI7" s="43"/>
      <c r="AJ7" s="43"/>
      <c r="AK7" s="43">
        <v>0</v>
      </c>
      <c r="AL7" s="43"/>
      <c r="AM7" s="43"/>
      <c r="AN7" s="43"/>
      <c r="AO7" s="43"/>
      <c r="AP7" s="43"/>
      <c r="AQ7" s="43">
        <v>0</v>
      </c>
    </row>
    <row r="8" spans="1:43">
      <c r="A8" s="43" t="s">
        <v>241</v>
      </c>
      <c r="B8" s="43"/>
      <c r="C8" s="43"/>
      <c r="D8" s="43"/>
      <c r="E8" s="43"/>
      <c r="F8" s="43"/>
      <c r="G8" s="43">
        <v>0</v>
      </c>
      <c r="H8" s="43"/>
      <c r="I8" s="43"/>
      <c r="J8" s="43"/>
      <c r="K8" s="43"/>
      <c r="L8" s="43"/>
      <c r="M8" s="43">
        <v>0</v>
      </c>
      <c r="N8" s="43"/>
      <c r="O8" s="43"/>
      <c r="P8" s="43"/>
      <c r="Q8" s="43"/>
      <c r="R8" s="43"/>
      <c r="S8" s="43">
        <v>0</v>
      </c>
      <c r="T8" s="43"/>
      <c r="U8" s="43"/>
      <c r="V8" s="43"/>
      <c r="W8" s="43"/>
      <c r="X8" s="43"/>
      <c r="Y8" s="43">
        <v>0</v>
      </c>
      <c r="Z8" s="43"/>
      <c r="AA8" s="43"/>
      <c r="AB8" s="43"/>
      <c r="AC8" s="43"/>
      <c r="AD8" s="43"/>
      <c r="AE8" s="43">
        <v>0</v>
      </c>
      <c r="AF8" s="43"/>
      <c r="AG8" s="43"/>
      <c r="AH8" s="43"/>
      <c r="AI8" s="43"/>
      <c r="AJ8" s="43"/>
      <c r="AK8" s="43">
        <v>0</v>
      </c>
      <c r="AL8" s="43"/>
      <c r="AM8" s="43"/>
      <c r="AN8" s="43"/>
      <c r="AO8" s="43"/>
      <c r="AP8" s="43"/>
      <c r="AQ8" s="43">
        <v>0</v>
      </c>
    </row>
    <row r="9" spans="1:43">
      <c r="A9" s="43" t="s">
        <v>242</v>
      </c>
      <c r="B9" s="43"/>
      <c r="C9" s="43"/>
      <c r="D9" s="43"/>
      <c r="E9" s="43"/>
      <c r="F9" s="43"/>
      <c r="G9" s="43">
        <v>0</v>
      </c>
      <c r="H9" s="43"/>
      <c r="I9" s="43"/>
      <c r="J9" s="43"/>
      <c r="K9" s="43"/>
      <c r="L9" s="43"/>
      <c r="M9" s="43">
        <v>0</v>
      </c>
      <c r="N9" s="43"/>
      <c r="O9" s="43"/>
      <c r="P9" s="43"/>
      <c r="Q9" s="43"/>
      <c r="R9" s="43"/>
      <c r="S9" s="43">
        <v>0</v>
      </c>
      <c r="T9" s="43"/>
      <c r="U9" s="43"/>
      <c r="V9" s="43"/>
      <c r="W9" s="43"/>
      <c r="X9" s="43"/>
      <c r="Y9" s="43">
        <v>0</v>
      </c>
      <c r="Z9" s="43"/>
      <c r="AA9" s="43"/>
      <c r="AB9" s="43"/>
      <c r="AC9" s="43"/>
      <c r="AD9" s="43"/>
      <c r="AE9" s="43">
        <v>0</v>
      </c>
      <c r="AF9" s="43"/>
      <c r="AG9" s="43"/>
      <c r="AH9" s="43"/>
      <c r="AI9" s="43"/>
      <c r="AJ9" s="43"/>
      <c r="AK9" s="43">
        <v>0</v>
      </c>
      <c r="AL9" s="43"/>
      <c r="AM9" s="43"/>
      <c r="AN9" s="43"/>
      <c r="AO9" s="43"/>
      <c r="AP9" s="43"/>
      <c r="AQ9" s="43">
        <v>0</v>
      </c>
    </row>
    <row r="10" spans="1:43">
      <c r="A10" s="43" t="s">
        <v>243</v>
      </c>
      <c r="B10" s="43"/>
      <c r="C10" s="43"/>
      <c r="D10" s="43"/>
      <c r="E10" s="43"/>
      <c r="F10" s="43"/>
      <c r="G10" s="43">
        <v>0</v>
      </c>
      <c r="H10" s="43"/>
      <c r="I10" s="43"/>
      <c r="J10" s="43"/>
      <c r="K10" s="43"/>
      <c r="L10" s="43"/>
      <c r="M10" s="43">
        <v>0</v>
      </c>
      <c r="N10" s="43"/>
      <c r="O10" s="43"/>
      <c r="P10" s="43"/>
      <c r="Q10" s="43"/>
      <c r="R10" s="43"/>
      <c r="S10" s="43">
        <v>0</v>
      </c>
      <c r="T10" s="43"/>
      <c r="U10" s="43"/>
      <c r="V10" s="43"/>
      <c r="W10" s="43"/>
      <c r="X10" s="43"/>
      <c r="Y10" s="43">
        <v>0</v>
      </c>
      <c r="Z10" s="43"/>
      <c r="AA10" s="43"/>
      <c r="AB10" s="43"/>
      <c r="AC10" s="43"/>
      <c r="AD10" s="43"/>
      <c r="AE10" s="43">
        <v>0</v>
      </c>
      <c r="AF10" s="43"/>
      <c r="AG10" s="43"/>
      <c r="AH10" s="43"/>
      <c r="AI10" s="43"/>
      <c r="AJ10" s="43"/>
      <c r="AK10" s="43">
        <v>0</v>
      </c>
      <c r="AL10" s="43"/>
      <c r="AM10" s="43"/>
      <c r="AN10" s="43"/>
      <c r="AO10" s="43"/>
      <c r="AP10" s="43"/>
      <c r="AQ10" s="43">
        <v>0</v>
      </c>
    </row>
    <row r="11" spans="1:43">
      <c r="A11" s="43" t="s">
        <v>244</v>
      </c>
      <c r="B11" s="43"/>
      <c r="C11" s="43"/>
      <c r="D11" s="43"/>
      <c r="E11" s="43"/>
      <c r="F11" s="43"/>
      <c r="G11" s="43">
        <v>0</v>
      </c>
      <c r="H11" s="43"/>
      <c r="I11" s="43"/>
      <c r="J11" s="43"/>
      <c r="K11" s="43"/>
      <c r="L11" s="43"/>
      <c r="M11" s="43">
        <v>0</v>
      </c>
      <c r="N11" s="43"/>
      <c r="O11" s="43"/>
      <c r="P11" s="43"/>
      <c r="Q11" s="43"/>
      <c r="R11" s="43"/>
      <c r="S11" s="43">
        <v>0</v>
      </c>
      <c r="T11" s="43"/>
      <c r="U11" s="43"/>
      <c r="V11" s="43"/>
      <c r="W11" s="43"/>
      <c r="X11" s="43"/>
      <c r="Y11" s="43">
        <v>0</v>
      </c>
      <c r="Z11" s="43"/>
      <c r="AA11" s="43"/>
      <c r="AB11" s="43"/>
      <c r="AC11" s="43"/>
      <c r="AD11" s="43"/>
      <c r="AE11" s="43">
        <v>0</v>
      </c>
      <c r="AF11" s="43"/>
      <c r="AG11" s="43"/>
      <c r="AH11" s="43"/>
      <c r="AI11" s="43"/>
      <c r="AJ11" s="43"/>
      <c r="AK11" s="43">
        <v>0</v>
      </c>
      <c r="AL11" s="43"/>
      <c r="AM11" s="43"/>
      <c r="AN11" s="43"/>
      <c r="AO11" s="43"/>
      <c r="AP11" s="43"/>
      <c r="AQ11" s="43">
        <v>0</v>
      </c>
    </row>
    <row r="12" spans="1:43">
      <c r="A12" s="43" t="s">
        <v>245</v>
      </c>
      <c r="B12" s="43"/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/>
      <c r="AM12" s="43">
        <v>0</v>
      </c>
      <c r="AN12" s="43">
        <v>0</v>
      </c>
      <c r="AO12" s="43">
        <v>0</v>
      </c>
      <c r="AP12" s="43">
        <v>0</v>
      </c>
      <c r="AQ12" s="43">
        <v>0</v>
      </c>
    </row>
    <row r="13" spans="1:43">
      <c r="A13" s="43" t="s">
        <v>246</v>
      </c>
      <c r="B13" s="43"/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/>
      <c r="AM13" s="43">
        <v>0</v>
      </c>
      <c r="AN13" s="43">
        <v>0</v>
      </c>
      <c r="AO13" s="43">
        <v>0</v>
      </c>
      <c r="AP13" s="43">
        <v>0</v>
      </c>
      <c r="AQ13" s="43">
        <v>0</v>
      </c>
    </row>
    <row r="14" spans="1:43">
      <c r="A14" s="43" t="s">
        <v>247</v>
      </c>
      <c r="B14" s="43"/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/>
      <c r="AM14" s="43">
        <v>0</v>
      </c>
      <c r="AN14" s="43">
        <v>0</v>
      </c>
      <c r="AO14" s="43">
        <v>0</v>
      </c>
      <c r="AP14" s="43">
        <v>0</v>
      </c>
      <c r="AQ14" s="43">
        <v>0</v>
      </c>
    </row>
    <row r="15" spans="1:43">
      <c r="A15" s="43" t="s">
        <v>248</v>
      </c>
      <c r="B15" s="43"/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/>
      <c r="AM15" s="43">
        <v>0</v>
      </c>
      <c r="AN15" s="43">
        <v>0</v>
      </c>
      <c r="AO15" s="43">
        <v>0</v>
      </c>
      <c r="AP15" s="43">
        <v>0</v>
      </c>
      <c r="AQ15" s="43">
        <v>0</v>
      </c>
    </row>
    <row r="16" spans="1:43">
      <c r="A16" s="43" t="s">
        <v>249</v>
      </c>
      <c r="B16" s="43"/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22.68</v>
      </c>
      <c r="M16" s="43">
        <v>0</v>
      </c>
      <c r="N16" s="43">
        <v>18.14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3.59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/>
      <c r="AM16" s="43">
        <v>0</v>
      </c>
      <c r="AN16" s="43">
        <v>0</v>
      </c>
      <c r="AO16" s="43">
        <v>0</v>
      </c>
      <c r="AP16" s="43">
        <v>0</v>
      </c>
      <c r="AQ16" s="43">
        <v>0</v>
      </c>
    </row>
    <row r="17" spans="1:43">
      <c r="A17" s="43" t="s">
        <v>250</v>
      </c>
      <c r="B17" s="43">
        <v>125.19</v>
      </c>
      <c r="C17" s="43">
        <v>37.4</v>
      </c>
      <c r="D17" s="43">
        <v>52.07</v>
      </c>
      <c r="E17" s="43">
        <v>137.63</v>
      </c>
      <c r="F17" s="43">
        <v>182.47</v>
      </c>
      <c r="G17" s="43">
        <v>104.96</v>
      </c>
      <c r="H17" s="43">
        <v>104.08</v>
      </c>
      <c r="I17" s="43">
        <v>75.92</v>
      </c>
      <c r="J17" s="43">
        <v>138.4</v>
      </c>
      <c r="K17" s="43">
        <v>137.69</v>
      </c>
      <c r="L17" s="43">
        <v>183.1</v>
      </c>
      <c r="M17" s="43">
        <v>126.72</v>
      </c>
      <c r="N17" s="43">
        <v>139.28</v>
      </c>
      <c r="O17" s="43">
        <v>129.55000000000001</v>
      </c>
      <c r="P17" s="43">
        <v>185.19</v>
      </c>
      <c r="Q17" s="43">
        <v>90.57</v>
      </c>
      <c r="R17" s="43">
        <v>179.69</v>
      </c>
      <c r="S17" s="43">
        <v>149.51</v>
      </c>
      <c r="T17" s="43">
        <v>105.49</v>
      </c>
      <c r="U17" s="43">
        <v>130.96</v>
      </c>
      <c r="V17" s="43">
        <v>229.47</v>
      </c>
      <c r="W17" s="43">
        <v>143.28</v>
      </c>
      <c r="X17" s="43">
        <v>155.22999999999999</v>
      </c>
      <c r="Y17" s="43">
        <v>143.16</v>
      </c>
      <c r="Z17" s="43">
        <v>62.51</v>
      </c>
      <c r="AA17" s="43">
        <v>167.75</v>
      </c>
      <c r="AB17" s="43">
        <v>121.52</v>
      </c>
      <c r="AC17" s="43">
        <v>79.760000000000005</v>
      </c>
      <c r="AD17" s="43">
        <v>93.74</v>
      </c>
      <c r="AE17" s="43">
        <v>98.34</v>
      </c>
      <c r="AF17" s="43">
        <v>293.55</v>
      </c>
      <c r="AG17" s="43">
        <v>109.68</v>
      </c>
      <c r="AH17" s="43">
        <v>162.87</v>
      </c>
      <c r="AI17" s="43">
        <v>91.63</v>
      </c>
      <c r="AJ17" s="43">
        <v>131.63</v>
      </c>
      <c r="AK17" s="43">
        <v>134.72999999999999</v>
      </c>
      <c r="AL17" s="43">
        <v>202.77</v>
      </c>
      <c r="AM17" s="43">
        <v>308.14999999999998</v>
      </c>
      <c r="AN17" s="43">
        <v>268.22000000000003</v>
      </c>
      <c r="AO17" s="43">
        <v>124.05</v>
      </c>
      <c r="AP17" s="43">
        <v>299.7</v>
      </c>
      <c r="AQ17" s="43">
        <v>256.89999999999998</v>
      </c>
    </row>
    <row r="18" spans="1:43">
      <c r="A18" s="43" t="s">
        <v>251</v>
      </c>
      <c r="B18" s="43">
        <v>300.44</v>
      </c>
      <c r="C18" s="43">
        <v>330.91</v>
      </c>
      <c r="D18" s="43">
        <v>383.41</v>
      </c>
      <c r="E18" s="43">
        <v>197.45</v>
      </c>
      <c r="F18" s="43">
        <v>120.78</v>
      </c>
      <c r="G18" s="43">
        <v>276.27</v>
      </c>
      <c r="H18" s="43">
        <v>300.29000000000002</v>
      </c>
      <c r="I18" s="43">
        <v>224.96</v>
      </c>
      <c r="J18" s="43">
        <v>576.61</v>
      </c>
      <c r="K18" s="43">
        <v>278.25</v>
      </c>
      <c r="L18" s="43">
        <v>256.5</v>
      </c>
      <c r="M18" s="43">
        <v>278.35000000000002</v>
      </c>
      <c r="N18" s="43">
        <v>200.72</v>
      </c>
      <c r="O18" s="43">
        <v>342.91</v>
      </c>
      <c r="P18" s="43">
        <v>319.45</v>
      </c>
      <c r="Q18" s="43">
        <v>303.77999999999997</v>
      </c>
      <c r="R18" s="43">
        <v>610.99</v>
      </c>
      <c r="S18" s="43">
        <v>322.05</v>
      </c>
      <c r="T18" s="43">
        <v>106.01</v>
      </c>
      <c r="U18" s="43">
        <v>357.36</v>
      </c>
      <c r="V18" s="43">
        <v>325.33999999999997</v>
      </c>
      <c r="W18" s="43">
        <v>314.49</v>
      </c>
      <c r="X18" s="43">
        <v>174.14</v>
      </c>
      <c r="Y18" s="43">
        <v>271.32</v>
      </c>
      <c r="Z18" s="43">
        <v>259.75</v>
      </c>
      <c r="AA18" s="43">
        <v>338.71</v>
      </c>
      <c r="AB18" s="43">
        <v>262.13</v>
      </c>
      <c r="AC18" s="43">
        <v>365.15</v>
      </c>
      <c r="AD18" s="43">
        <v>216.91</v>
      </c>
      <c r="AE18" s="43">
        <v>286.86</v>
      </c>
      <c r="AF18" s="43">
        <v>300.27</v>
      </c>
      <c r="AG18" s="43">
        <v>368.28</v>
      </c>
      <c r="AH18" s="43">
        <v>544.47</v>
      </c>
      <c r="AI18" s="43">
        <v>249.74</v>
      </c>
      <c r="AJ18" s="43">
        <v>410.72</v>
      </c>
      <c r="AK18" s="43">
        <v>359.76</v>
      </c>
      <c r="AL18" s="43">
        <v>390.13</v>
      </c>
      <c r="AM18" s="43">
        <v>259.19</v>
      </c>
      <c r="AN18" s="43">
        <v>461.54</v>
      </c>
      <c r="AO18" s="43">
        <v>312.13</v>
      </c>
      <c r="AP18" s="43">
        <v>476.27</v>
      </c>
      <c r="AQ18" s="43">
        <v>387.93</v>
      </c>
    </row>
    <row r="19" spans="1:43">
      <c r="A19" s="43" t="s">
        <v>252</v>
      </c>
      <c r="B19" s="43">
        <v>363.15</v>
      </c>
      <c r="C19" s="43">
        <v>321.10000000000002</v>
      </c>
      <c r="D19" s="43">
        <v>536.16999999999996</v>
      </c>
      <c r="E19" s="43">
        <v>629.74</v>
      </c>
      <c r="F19" s="43">
        <v>478.68</v>
      </c>
      <c r="G19" s="43">
        <v>459.33</v>
      </c>
      <c r="H19" s="43">
        <v>589.99</v>
      </c>
      <c r="I19" s="43">
        <v>571.25</v>
      </c>
      <c r="J19" s="43">
        <v>250.33</v>
      </c>
      <c r="K19" s="43">
        <v>490.29</v>
      </c>
      <c r="L19" s="43">
        <v>532.19000000000005</v>
      </c>
      <c r="M19" s="43">
        <v>531.24</v>
      </c>
      <c r="N19" s="43">
        <v>582.88</v>
      </c>
      <c r="O19" s="43">
        <v>328.42</v>
      </c>
      <c r="P19" s="43">
        <v>883.12</v>
      </c>
      <c r="Q19" s="43">
        <v>778.46</v>
      </c>
      <c r="R19" s="43">
        <v>444.38</v>
      </c>
      <c r="S19" s="43">
        <v>601.91</v>
      </c>
      <c r="T19" s="43">
        <v>624.85</v>
      </c>
      <c r="U19" s="43">
        <v>395.33</v>
      </c>
      <c r="V19" s="43">
        <v>894.47</v>
      </c>
      <c r="W19" s="43">
        <v>420.75</v>
      </c>
      <c r="X19" s="43">
        <v>469.37</v>
      </c>
      <c r="Y19" s="43">
        <v>504.99</v>
      </c>
      <c r="Z19" s="43">
        <v>535.13</v>
      </c>
      <c r="AA19" s="43">
        <v>580.42999999999995</v>
      </c>
      <c r="AB19" s="43">
        <v>579.58000000000004</v>
      </c>
      <c r="AC19" s="43">
        <v>758.38</v>
      </c>
      <c r="AD19" s="43">
        <v>812.78</v>
      </c>
      <c r="AE19" s="43">
        <v>639.46</v>
      </c>
      <c r="AF19" s="43">
        <v>566.66999999999996</v>
      </c>
      <c r="AG19" s="43">
        <v>441.87</v>
      </c>
      <c r="AH19" s="43">
        <v>660.25</v>
      </c>
      <c r="AI19" s="43">
        <v>575.79</v>
      </c>
      <c r="AJ19" s="43">
        <v>655.87</v>
      </c>
      <c r="AK19" s="43">
        <v>599.44000000000005</v>
      </c>
      <c r="AL19" s="43">
        <v>725.13</v>
      </c>
      <c r="AM19" s="43">
        <v>1040.6500000000001</v>
      </c>
      <c r="AN19" s="43">
        <v>520.86</v>
      </c>
      <c r="AO19" s="43">
        <v>496.31</v>
      </c>
      <c r="AP19" s="43">
        <v>627.98</v>
      </c>
      <c r="AQ19" s="43">
        <v>624.66</v>
      </c>
    </row>
    <row r="20" spans="1:43">
      <c r="A20" s="43" t="s">
        <v>253</v>
      </c>
      <c r="B20" s="43">
        <v>422.55</v>
      </c>
      <c r="C20" s="43">
        <v>456.21</v>
      </c>
      <c r="D20" s="43">
        <v>511.22</v>
      </c>
      <c r="E20" s="43">
        <v>628.89</v>
      </c>
      <c r="F20" s="43">
        <v>483.7</v>
      </c>
      <c r="G20" s="43">
        <v>483.71</v>
      </c>
      <c r="H20" s="43">
        <v>354.98</v>
      </c>
      <c r="I20" s="43">
        <v>415.11</v>
      </c>
      <c r="J20" s="43">
        <v>570.33000000000004</v>
      </c>
      <c r="K20" s="43">
        <v>619.62</v>
      </c>
      <c r="L20" s="43">
        <v>410.11</v>
      </c>
      <c r="M20" s="43">
        <v>465.18</v>
      </c>
      <c r="N20" s="43">
        <v>398.39</v>
      </c>
      <c r="O20" s="43">
        <v>309.95999999999998</v>
      </c>
      <c r="P20" s="43">
        <v>619.79999999999995</v>
      </c>
      <c r="Q20" s="43">
        <v>563.87</v>
      </c>
      <c r="R20" s="43">
        <v>478.41</v>
      </c>
      <c r="S20" s="43">
        <v>480.22</v>
      </c>
      <c r="T20" s="43">
        <v>388.42</v>
      </c>
      <c r="U20" s="43">
        <v>540.69000000000005</v>
      </c>
      <c r="V20" s="43">
        <v>504.51</v>
      </c>
      <c r="W20" s="43">
        <v>538.04999999999995</v>
      </c>
      <c r="X20" s="43">
        <v>662.42</v>
      </c>
      <c r="Y20" s="43">
        <v>527.75</v>
      </c>
      <c r="Z20" s="43">
        <v>470.62</v>
      </c>
      <c r="AA20" s="43">
        <v>537.5</v>
      </c>
      <c r="AB20" s="43">
        <v>532.45000000000005</v>
      </c>
      <c r="AC20" s="43">
        <v>578.91999999999996</v>
      </c>
      <c r="AD20" s="43">
        <v>386.56</v>
      </c>
      <c r="AE20" s="43">
        <v>513.52</v>
      </c>
      <c r="AF20" s="43">
        <v>803.53</v>
      </c>
      <c r="AG20" s="43">
        <v>823.02</v>
      </c>
      <c r="AH20" s="43">
        <v>627.37</v>
      </c>
      <c r="AI20" s="43">
        <v>587.95000000000005</v>
      </c>
      <c r="AJ20" s="43">
        <v>603.29</v>
      </c>
      <c r="AK20" s="43">
        <v>678.06</v>
      </c>
      <c r="AL20" s="43">
        <v>641.16</v>
      </c>
      <c r="AM20" s="43">
        <v>703.87</v>
      </c>
      <c r="AN20" s="43">
        <v>860.34</v>
      </c>
      <c r="AO20" s="43">
        <v>852.63</v>
      </c>
      <c r="AP20" s="43">
        <v>786.09</v>
      </c>
      <c r="AQ20" s="43">
        <v>780.86</v>
      </c>
    </row>
    <row r="21" spans="1:43">
      <c r="A21" s="43" t="s">
        <v>254</v>
      </c>
      <c r="B21" s="43">
        <v>253.59</v>
      </c>
      <c r="C21" s="43">
        <v>374.53</v>
      </c>
      <c r="D21" s="43">
        <v>446.98</v>
      </c>
      <c r="E21" s="43">
        <v>317.27999999999997</v>
      </c>
      <c r="F21" s="43">
        <v>305.27999999999997</v>
      </c>
      <c r="G21" s="43">
        <v>332.36</v>
      </c>
      <c r="H21" s="43">
        <v>228.6</v>
      </c>
      <c r="I21" s="43">
        <v>388.48</v>
      </c>
      <c r="J21" s="43">
        <v>373.66</v>
      </c>
      <c r="K21" s="43">
        <v>421.83</v>
      </c>
      <c r="L21" s="43">
        <v>251.78</v>
      </c>
      <c r="M21" s="43">
        <v>337.97</v>
      </c>
      <c r="N21" s="43">
        <v>232.93</v>
      </c>
      <c r="O21" s="43">
        <v>228.14</v>
      </c>
      <c r="P21" s="43">
        <v>428.23</v>
      </c>
      <c r="Q21" s="43">
        <v>393.85</v>
      </c>
      <c r="R21" s="43">
        <v>333.81</v>
      </c>
      <c r="S21" s="43">
        <v>320.2</v>
      </c>
      <c r="T21" s="43">
        <v>173.87</v>
      </c>
      <c r="U21" s="43">
        <v>263.05</v>
      </c>
      <c r="V21" s="43">
        <v>295.33</v>
      </c>
      <c r="W21" s="43">
        <v>382.51</v>
      </c>
      <c r="X21" s="43">
        <v>189.18</v>
      </c>
      <c r="Y21" s="43">
        <v>249.19</v>
      </c>
      <c r="Z21" s="43">
        <v>292.31</v>
      </c>
      <c r="AA21" s="43">
        <v>413.63</v>
      </c>
      <c r="AB21" s="43">
        <v>374.46</v>
      </c>
      <c r="AC21" s="43">
        <v>547.25</v>
      </c>
      <c r="AD21" s="43">
        <v>311.70999999999998</v>
      </c>
      <c r="AE21" s="43">
        <v>366.6</v>
      </c>
      <c r="AF21" s="43">
        <v>673.68</v>
      </c>
      <c r="AG21" s="43">
        <v>524.22</v>
      </c>
      <c r="AH21" s="43">
        <v>509.17</v>
      </c>
      <c r="AI21" s="43">
        <v>776.05</v>
      </c>
      <c r="AJ21" s="43">
        <v>803.38</v>
      </c>
      <c r="AK21" s="43">
        <v>657.98</v>
      </c>
      <c r="AL21" s="43">
        <v>632.41999999999996</v>
      </c>
      <c r="AM21" s="43">
        <v>529.24</v>
      </c>
      <c r="AN21" s="43">
        <v>515.49</v>
      </c>
      <c r="AO21" s="43">
        <v>597.51</v>
      </c>
      <c r="AP21" s="43">
        <v>596.35</v>
      </c>
      <c r="AQ21" s="43">
        <v>574.37</v>
      </c>
    </row>
    <row r="22" spans="1:43">
      <c r="A22" s="43" t="s">
        <v>255</v>
      </c>
      <c r="B22" s="43">
        <v>169.3</v>
      </c>
      <c r="C22" s="43">
        <v>390.36</v>
      </c>
      <c r="D22" s="43">
        <v>345.69</v>
      </c>
      <c r="E22" s="43">
        <v>293.36</v>
      </c>
      <c r="F22" s="43">
        <v>263.62</v>
      </c>
      <c r="G22" s="43">
        <v>300.89</v>
      </c>
      <c r="H22" s="43">
        <v>221.82</v>
      </c>
      <c r="I22" s="43">
        <v>163.18</v>
      </c>
      <c r="J22" s="43">
        <v>287.16000000000003</v>
      </c>
      <c r="K22" s="43">
        <v>153.37</v>
      </c>
      <c r="L22" s="43">
        <v>366.44</v>
      </c>
      <c r="M22" s="43">
        <v>224.05</v>
      </c>
      <c r="N22" s="43">
        <v>149.31</v>
      </c>
      <c r="O22" s="43">
        <v>248.79</v>
      </c>
      <c r="P22" s="43">
        <v>303.58999999999997</v>
      </c>
      <c r="Q22" s="43">
        <v>407.44</v>
      </c>
      <c r="R22" s="43">
        <v>345.73</v>
      </c>
      <c r="S22" s="43">
        <v>299.37</v>
      </c>
      <c r="T22" s="43">
        <v>275.08</v>
      </c>
      <c r="U22" s="43">
        <v>273.41000000000003</v>
      </c>
      <c r="V22" s="43">
        <v>202.25</v>
      </c>
      <c r="W22" s="43">
        <v>469.7</v>
      </c>
      <c r="X22" s="43">
        <v>414.6</v>
      </c>
      <c r="Y22" s="43">
        <v>321.02999999999997</v>
      </c>
      <c r="Z22" s="43">
        <v>392.52</v>
      </c>
      <c r="AA22" s="43">
        <v>373.72</v>
      </c>
      <c r="AB22" s="43">
        <v>303.02</v>
      </c>
      <c r="AC22" s="43">
        <v>278.08</v>
      </c>
      <c r="AD22" s="43">
        <v>279.51</v>
      </c>
      <c r="AE22" s="43">
        <v>318.75</v>
      </c>
      <c r="AF22" s="43">
        <v>457.64</v>
      </c>
      <c r="AG22" s="43">
        <v>591.79</v>
      </c>
      <c r="AH22" s="43">
        <v>248.32</v>
      </c>
      <c r="AI22" s="43">
        <v>503.29</v>
      </c>
      <c r="AJ22" s="43">
        <v>759.09</v>
      </c>
      <c r="AK22" s="43">
        <v>517.57000000000005</v>
      </c>
      <c r="AL22" s="43">
        <v>580.96</v>
      </c>
      <c r="AM22" s="43">
        <v>427.47</v>
      </c>
      <c r="AN22" s="43">
        <v>452.11</v>
      </c>
      <c r="AO22" s="43">
        <v>292.95</v>
      </c>
      <c r="AP22" s="43">
        <v>460.79</v>
      </c>
      <c r="AQ22" s="43">
        <v>446.79</v>
      </c>
    </row>
    <row r="23" spans="1:43">
      <c r="A23" s="43" t="s">
        <v>256</v>
      </c>
      <c r="B23" s="43">
        <v>334.22</v>
      </c>
      <c r="C23" s="43">
        <v>170.36</v>
      </c>
      <c r="D23" s="43">
        <v>358.05</v>
      </c>
      <c r="E23" s="43">
        <v>234.6</v>
      </c>
      <c r="F23" s="43">
        <v>325.14999999999998</v>
      </c>
      <c r="G23" s="43">
        <v>297.99</v>
      </c>
      <c r="H23" s="43">
        <v>315.62</v>
      </c>
      <c r="I23" s="43">
        <v>279.7</v>
      </c>
      <c r="J23" s="43">
        <v>328.1</v>
      </c>
      <c r="K23" s="43">
        <v>427.51</v>
      </c>
      <c r="L23" s="43">
        <v>223.29</v>
      </c>
      <c r="M23" s="43">
        <v>307.81</v>
      </c>
      <c r="N23" s="43">
        <v>316.47000000000003</v>
      </c>
      <c r="O23" s="43">
        <v>318.77</v>
      </c>
      <c r="P23" s="43">
        <v>292.77999999999997</v>
      </c>
      <c r="Q23" s="43">
        <v>351.38</v>
      </c>
      <c r="R23" s="43">
        <v>554.87</v>
      </c>
      <c r="S23" s="43">
        <v>328.87</v>
      </c>
      <c r="T23" s="43">
        <v>328.54</v>
      </c>
      <c r="U23" s="43">
        <v>292.81</v>
      </c>
      <c r="V23" s="43">
        <v>409.31</v>
      </c>
      <c r="W23" s="43">
        <v>417.55</v>
      </c>
      <c r="X23" s="43">
        <v>250.73</v>
      </c>
      <c r="Y23" s="43">
        <v>343.55</v>
      </c>
      <c r="Z23" s="43">
        <v>336.06</v>
      </c>
      <c r="AA23" s="43">
        <v>237.8</v>
      </c>
      <c r="AB23" s="43">
        <v>267.62</v>
      </c>
      <c r="AC23" s="43">
        <v>346.78</v>
      </c>
      <c r="AD23" s="43">
        <v>348.17</v>
      </c>
      <c r="AE23" s="43">
        <v>316.82</v>
      </c>
      <c r="AF23" s="43">
        <v>538.76</v>
      </c>
      <c r="AG23" s="43">
        <v>365.92</v>
      </c>
      <c r="AH23" s="43">
        <v>387.34</v>
      </c>
      <c r="AI23" s="43">
        <v>351.81</v>
      </c>
      <c r="AJ23" s="43">
        <v>427.41</v>
      </c>
      <c r="AK23" s="43">
        <v>393.56</v>
      </c>
      <c r="AL23" s="43">
        <v>389.65</v>
      </c>
      <c r="AM23" s="43">
        <v>471.02</v>
      </c>
      <c r="AN23" s="43">
        <v>411.2</v>
      </c>
      <c r="AO23" s="43">
        <v>649.91999999999996</v>
      </c>
      <c r="AP23" s="43">
        <v>596.4</v>
      </c>
      <c r="AQ23" s="43">
        <v>492.87</v>
      </c>
    </row>
    <row r="24" spans="1:43">
      <c r="A24" s="43" t="s">
        <v>257</v>
      </c>
      <c r="B24" s="43">
        <v>388.45</v>
      </c>
      <c r="C24" s="43">
        <v>368.21</v>
      </c>
      <c r="D24" s="43">
        <v>524.52</v>
      </c>
      <c r="E24" s="43">
        <v>390.73</v>
      </c>
      <c r="F24" s="43">
        <v>627.03</v>
      </c>
      <c r="G24" s="43">
        <v>434.57</v>
      </c>
      <c r="H24" s="43">
        <v>564.67999999999995</v>
      </c>
      <c r="I24" s="43">
        <v>392.13</v>
      </c>
      <c r="J24" s="43">
        <v>474.72</v>
      </c>
      <c r="K24" s="43">
        <v>640.98</v>
      </c>
      <c r="L24" s="43">
        <v>374.98</v>
      </c>
      <c r="M24" s="43">
        <v>477.18</v>
      </c>
      <c r="N24" s="43">
        <v>389.31</v>
      </c>
      <c r="O24" s="43">
        <v>606.84</v>
      </c>
      <c r="P24" s="43">
        <v>606.28</v>
      </c>
      <c r="Q24" s="43">
        <v>502.02</v>
      </c>
      <c r="R24" s="43">
        <v>693.98</v>
      </c>
      <c r="S24" s="43">
        <v>571.71</v>
      </c>
      <c r="T24" s="43">
        <v>543.73</v>
      </c>
      <c r="U24" s="43">
        <v>674.97</v>
      </c>
      <c r="V24" s="43">
        <v>576.89</v>
      </c>
      <c r="W24" s="43">
        <v>716.53</v>
      </c>
      <c r="X24" s="43">
        <v>604.04</v>
      </c>
      <c r="Y24" s="43">
        <v>618.63</v>
      </c>
      <c r="Z24" s="43">
        <v>733.91</v>
      </c>
      <c r="AA24" s="43">
        <v>861.38</v>
      </c>
      <c r="AB24" s="43">
        <v>1177.71</v>
      </c>
      <c r="AC24" s="43">
        <v>827.78</v>
      </c>
      <c r="AD24" s="43">
        <v>1070.99</v>
      </c>
      <c r="AE24" s="43">
        <v>920.05</v>
      </c>
      <c r="AF24" s="43">
        <v>1119.8399999999999</v>
      </c>
      <c r="AG24" s="43">
        <v>1140.49</v>
      </c>
      <c r="AH24" s="43">
        <v>716.77</v>
      </c>
      <c r="AI24" s="43">
        <v>1067.95</v>
      </c>
      <c r="AJ24" s="43">
        <v>604.32000000000005</v>
      </c>
      <c r="AK24" s="43">
        <v>968.19</v>
      </c>
      <c r="AL24" s="43">
        <v>691.6</v>
      </c>
      <c r="AM24" s="43">
        <v>601.58000000000004</v>
      </c>
      <c r="AN24" s="43">
        <v>943.39</v>
      </c>
      <c r="AO24" s="43">
        <v>663.38</v>
      </c>
      <c r="AP24" s="43">
        <v>662.89</v>
      </c>
      <c r="AQ24" s="43">
        <v>672.62</v>
      </c>
    </row>
    <row r="25" spans="1:43">
      <c r="A25" s="43" t="s">
        <v>258</v>
      </c>
      <c r="B25" s="43">
        <v>918.44</v>
      </c>
      <c r="C25" s="43">
        <v>585.69000000000005</v>
      </c>
      <c r="D25" s="43">
        <v>508.72</v>
      </c>
      <c r="E25" s="43">
        <v>885.33</v>
      </c>
      <c r="F25" s="43">
        <v>853.7</v>
      </c>
      <c r="G25" s="43">
        <v>774.91</v>
      </c>
      <c r="H25" s="43">
        <v>671.54</v>
      </c>
      <c r="I25" s="43">
        <v>457.28</v>
      </c>
      <c r="J25" s="43">
        <v>768.48</v>
      </c>
      <c r="K25" s="43">
        <v>632.02</v>
      </c>
      <c r="L25" s="43">
        <v>634.41</v>
      </c>
      <c r="M25" s="43">
        <v>645.99</v>
      </c>
      <c r="N25" s="43">
        <v>694.61</v>
      </c>
      <c r="O25" s="43">
        <v>702.27</v>
      </c>
      <c r="P25" s="43">
        <v>975.87</v>
      </c>
      <c r="Q25" s="43">
        <v>954.45</v>
      </c>
      <c r="R25" s="43">
        <v>930.69</v>
      </c>
      <c r="S25" s="43">
        <v>862.47</v>
      </c>
      <c r="T25" s="43">
        <v>763.03</v>
      </c>
      <c r="U25" s="43">
        <v>962.05</v>
      </c>
      <c r="V25" s="43">
        <v>846.8</v>
      </c>
      <c r="W25" s="43">
        <v>882.15</v>
      </c>
      <c r="X25" s="43">
        <v>994.28</v>
      </c>
      <c r="Y25" s="43">
        <v>897</v>
      </c>
      <c r="Z25" s="43">
        <v>1096.2</v>
      </c>
      <c r="AA25" s="43">
        <v>1564.14</v>
      </c>
      <c r="AB25" s="43">
        <v>1749.3</v>
      </c>
      <c r="AC25" s="43">
        <v>1482.95</v>
      </c>
      <c r="AD25" s="43">
        <v>1340.59</v>
      </c>
      <c r="AE25" s="43">
        <v>1462.56</v>
      </c>
      <c r="AF25" s="43">
        <v>969.79</v>
      </c>
      <c r="AG25" s="43">
        <v>1111.3399999999999</v>
      </c>
      <c r="AH25" s="43">
        <v>1002.08</v>
      </c>
      <c r="AI25" s="43">
        <v>926.73</v>
      </c>
      <c r="AJ25" s="43">
        <v>1210.94</v>
      </c>
      <c r="AK25" s="43">
        <v>1027.74</v>
      </c>
      <c r="AL25" s="43">
        <v>699.59</v>
      </c>
      <c r="AM25" s="43">
        <v>664.6</v>
      </c>
      <c r="AN25" s="43">
        <v>945.88</v>
      </c>
      <c r="AO25" s="43">
        <v>1089.6099999999999</v>
      </c>
      <c r="AP25" s="43">
        <v>868.43</v>
      </c>
      <c r="AQ25" s="43">
        <v>837.97</v>
      </c>
    </row>
    <row r="26" spans="1:43">
      <c r="A26" s="43" t="s">
        <v>259</v>
      </c>
      <c r="B26" s="43">
        <v>568.61</v>
      </c>
      <c r="C26" s="43">
        <v>580.62</v>
      </c>
      <c r="D26" s="43">
        <v>601.37</v>
      </c>
      <c r="E26" s="43">
        <v>627.69000000000005</v>
      </c>
      <c r="F26" s="43">
        <v>389.09</v>
      </c>
      <c r="G26" s="43">
        <v>583.53</v>
      </c>
      <c r="H26" s="43">
        <v>382.19</v>
      </c>
      <c r="I26" s="43">
        <v>556.36</v>
      </c>
      <c r="J26" s="43">
        <v>555.4</v>
      </c>
      <c r="K26" s="43">
        <v>566.52</v>
      </c>
      <c r="L26" s="43">
        <v>437.57</v>
      </c>
      <c r="M26" s="43">
        <v>516.44000000000005</v>
      </c>
      <c r="N26" s="43">
        <v>642.82000000000005</v>
      </c>
      <c r="O26" s="43">
        <v>821.39</v>
      </c>
      <c r="P26" s="43">
        <v>876.8</v>
      </c>
      <c r="Q26" s="43">
        <v>624.79</v>
      </c>
      <c r="R26" s="43">
        <v>383.09</v>
      </c>
      <c r="S26" s="43">
        <v>696.33</v>
      </c>
      <c r="T26" s="43">
        <v>476.35</v>
      </c>
      <c r="U26" s="43">
        <v>674.42</v>
      </c>
      <c r="V26" s="43">
        <v>666.95</v>
      </c>
      <c r="W26" s="43">
        <v>796.05</v>
      </c>
      <c r="X26" s="43">
        <v>813.14</v>
      </c>
      <c r="Y26" s="43">
        <v>712.47</v>
      </c>
      <c r="Z26" s="43">
        <v>1038.17</v>
      </c>
      <c r="AA26" s="43">
        <v>1054.27</v>
      </c>
      <c r="AB26" s="43">
        <v>1178.9000000000001</v>
      </c>
      <c r="AC26" s="43">
        <v>1194.33</v>
      </c>
      <c r="AD26" s="43">
        <v>1395.73</v>
      </c>
      <c r="AE26" s="43">
        <v>1142.5</v>
      </c>
      <c r="AF26" s="43">
        <v>702.22</v>
      </c>
      <c r="AG26" s="43">
        <v>1102.22</v>
      </c>
      <c r="AH26" s="43">
        <v>1091.58</v>
      </c>
      <c r="AI26" s="43">
        <v>871.41</v>
      </c>
      <c r="AJ26" s="43">
        <v>852.87</v>
      </c>
      <c r="AK26" s="43">
        <v>938.62</v>
      </c>
      <c r="AL26" s="43">
        <v>699.32</v>
      </c>
      <c r="AM26" s="43">
        <v>689.22</v>
      </c>
      <c r="AN26" s="43">
        <v>361.6</v>
      </c>
      <c r="AO26" s="43">
        <v>851.41</v>
      </c>
      <c r="AP26" s="43">
        <v>535.48</v>
      </c>
      <c r="AQ26" s="43">
        <v>641.34</v>
      </c>
    </row>
    <row r="27" spans="1:43">
      <c r="A27" s="43" t="s">
        <v>260</v>
      </c>
      <c r="B27" s="43">
        <v>215.5</v>
      </c>
      <c r="C27" s="43">
        <v>307.32</v>
      </c>
      <c r="D27" s="43">
        <v>583.24</v>
      </c>
      <c r="E27" s="43">
        <v>369.14</v>
      </c>
      <c r="F27" s="43">
        <v>175.63</v>
      </c>
      <c r="G27" s="43">
        <v>297.32</v>
      </c>
      <c r="H27" s="43">
        <v>334.72</v>
      </c>
      <c r="I27" s="43">
        <v>280.97000000000003</v>
      </c>
      <c r="J27" s="43">
        <v>494.63</v>
      </c>
      <c r="K27" s="43">
        <v>629.62</v>
      </c>
      <c r="L27" s="43">
        <v>422.97</v>
      </c>
      <c r="M27" s="43">
        <v>417.44</v>
      </c>
      <c r="N27" s="43">
        <v>422.76</v>
      </c>
      <c r="O27" s="43">
        <v>383.7</v>
      </c>
      <c r="P27" s="43">
        <v>385.77</v>
      </c>
      <c r="Q27" s="43">
        <v>552.5</v>
      </c>
      <c r="R27" s="43">
        <v>299.74</v>
      </c>
      <c r="S27" s="43">
        <v>397.41</v>
      </c>
      <c r="T27" s="43">
        <v>277.14999999999998</v>
      </c>
      <c r="U27" s="43">
        <v>623.07000000000005</v>
      </c>
      <c r="V27" s="43">
        <v>517.44000000000005</v>
      </c>
      <c r="W27" s="43">
        <v>549.13</v>
      </c>
      <c r="X27" s="43">
        <v>298.86</v>
      </c>
      <c r="Y27" s="43">
        <v>455.14</v>
      </c>
      <c r="Z27" s="43">
        <v>664.06</v>
      </c>
      <c r="AA27" s="43">
        <v>457.74</v>
      </c>
      <c r="AB27" s="43">
        <v>448.13</v>
      </c>
      <c r="AC27" s="43">
        <v>657.74</v>
      </c>
      <c r="AD27" s="43">
        <v>895.36</v>
      </c>
      <c r="AE27" s="43">
        <v>593.17999999999995</v>
      </c>
      <c r="AF27" s="43">
        <v>487.63</v>
      </c>
      <c r="AG27" s="43">
        <v>606.29</v>
      </c>
      <c r="AH27" s="43">
        <v>683.44</v>
      </c>
      <c r="AI27" s="43">
        <v>240.78</v>
      </c>
      <c r="AJ27" s="43">
        <v>743.5</v>
      </c>
      <c r="AK27" s="43">
        <v>592.45000000000005</v>
      </c>
      <c r="AL27" s="43">
        <v>346</v>
      </c>
      <c r="AM27" s="43">
        <v>469.65</v>
      </c>
      <c r="AN27" s="43">
        <v>441.26</v>
      </c>
      <c r="AO27" s="43">
        <v>392.4</v>
      </c>
      <c r="AP27" s="43">
        <v>310.83999999999997</v>
      </c>
      <c r="AQ27" s="43">
        <v>393.22</v>
      </c>
    </row>
    <row r="28" spans="1:43">
      <c r="A28" s="43" t="s">
        <v>261</v>
      </c>
      <c r="B28" s="43">
        <v>197.45</v>
      </c>
      <c r="C28" s="43">
        <v>114.82</v>
      </c>
      <c r="D28" s="43">
        <v>269.67</v>
      </c>
      <c r="E28" s="43">
        <v>75.650000000000006</v>
      </c>
      <c r="F28" s="43">
        <v>260.02</v>
      </c>
      <c r="G28" s="43">
        <v>190.76</v>
      </c>
      <c r="H28" s="43">
        <v>232.99</v>
      </c>
      <c r="I28" s="43">
        <v>308.70999999999998</v>
      </c>
      <c r="J28" s="43">
        <v>326.57</v>
      </c>
      <c r="K28" s="43">
        <v>261</v>
      </c>
      <c r="L28" s="43">
        <v>304.12</v>
      </c>
      <c r="M28" s="43">
        <v>291.27999999999997</v>
      </c>
      <c r="N28" s="43">
        <v>189.01</v>
      </c>
      <c r="O28" s="43">
        <v>388.8</v>
      </c>
      <c r="P28" s="43">
        <v>192.11</v>
      </c>
      <c r="Q28" s="43">
        <v>128.44999999999999</v>
      </c>
      <c r="R28" s="43">
        <v>207</v>
      </c>
      <c r="S28" s="43">
        <v>196.04</v>
      </c>
      <c r="T28" s="43">
        <v>319.27</v>
      </c>
      <c r="U28" s="43">
        <v>262.36</v>
      </c>
      <c r="V28" s="43">
        <v>206.02</v>
      </c>
      <c r="W28" s="43">
        <v>508.94</v>
      </c>
      <c r="X28" s="43">
        <v>401.29</v>
      </c>
      <c r="Y28" s="43">
        <v>327.64</v>
      </c>
      <c r="Z28" s="43">
        <v>275.2</v>
      </c>
      <c r="AA28" s="43">
        <v>374.73</v>
      </c>
      <c r="AB28" s="43">
        <v>359.92</v>
      </c>
      <c r="AC28" s="43">
        <v>250.82</v>
      </c>
      <c r="AD28" s="43">
        <v>336.81</v>
      </c>
      <c r="AE28" s="43">
        <v>323.98</v>
      </c>
      <c r="AF28" s="43">
        <v>396.93</v>
      </c>
      <c r="AG28" s="43">
        <v>130.91</v>
      </c>
      <c r="AH28" s="43">
        <v>213.42</v>
      </c>
      <c r="AI28" s="43">
        <v>263.81</v>
      </c>
      <c r="AJ28" s="43">
        <v>202.78</v>
      </c>
      <c r="AK28" s="43">
        <v>226.67</v>
      </c>
      <c r="AL28" s="43">
        <v>173.36</v>
      </c>
      <c r="AM28" s="43">
        <v>115.46</v>
      </c>
      <c r="AN28" s="43">
        <v>109.89</v>
      </c>
      <c r="AO28" s="43">
        <v>71.760000000000005</v>
      </c>
      <c r="AP28" s="43">
        <v>118.85</v>
      </c>
      <c r="AQ28" s="43">
        <v>114.73</v>
      </c>
    </row>
    <row r="29" spans="1:43">
      <c r="A29" s="43" t="s">
        <v>262</v>
      </c>
      <c r="B29" s="43"/>
      <c r="C29" s="43">
        <v>0</v>
      </c>
      <c r="D29" s="43">
        <v>0</v>
      </c>
      <c r="E29" s="43">
        <v>0</v>
      </c>
      <c r="F29" s="43">
        <v>30.77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/>
      <c r="AM29" s="43">
        <v>0</v>
      </c>
      <c r="AN29" s="43">
        <v>0</v>
      </c>
      <c r="AO29" s="43">
        <v>0</v>
      </c>
      <c r="AP29" s="43">
        <v>0</v>
      </c>
      <c r="AQ29" s="43">
        <v>0</v>
      </c>
    </row>
    <row r="30" spans="1:43">
      <c r="A30" s="43" t="s">
        <v>263</v>
      </c>
      <c r="B30" s="43"/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/>
      <c r="AM30" s="43">
        <v>0</v>
      </c>
      <c r="AN30" s="43">
        <v>0</v>
      </c>
      <c r="AO30" s="43">
        <v>0</v>
      </c>
      <c r="AP30" s="43">
        <v>0</v>
      </c>
      <c r="AQ30" s="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7598-09AF-4746-A4BF-B35472193B7F}">
  <dimension ref="A1:F28"/>
  <sheetViews>
    <sheetView workbookViewId="0">
      <selection activeCell="A23" sqref="A23"/>
    </sheetView>
  </sheetViews>
  <sheetFormatPr defaultRowHeight="15"/>
  <sheetData>
    <row r="1" spans="1:6" ht="15.75" thickBot="1">
      <c r="A1" s="131" t="s">
        <v>264</v>
      </c>
      <c r="B1" s="132"/>
      <c r="C1" s="132"/>
      <c r="D1" s="132"/>
      <c r="E1" s="132"/>
      <c r="F1" s="133"/>
    </row>
    <row r="2" spans="1:6" ht="22.5">
      <c r="A2" s="134"/>
      <c r="B2" s="38" t="s">
        <v>265</v>
      </c>
      <c r="C2" s="38" t="s">
        <v>266</v>
      </c>
      <c r="D2" s="38" t="s">
        <v>267</v>
      </c>
      <c r="E2" s="38" t="s">
        <v>268</v>
      </c>
      <c r="F2" s="38" t="s">
        <v>269</v>
      </c>
    </row>
    <row r="3" spans="1:6" ht="15.75" thickBot="1">
      <c r="A3" s="135"/>
      <c r="B3" s="34">
        <v>46195</v>
      </c>
      <c r="C3" s="34">
        <v>46188</v>
      </c>
      <c r="D3" s="34">
        <v>46181</v>
      </c>
      <c r="E3" s="34">
        <v>46174</v>
      </c>
      <c r="F3" s="34">
        <v>46167</v>
      </c>
    </row>
    <row r="4" spans="1:6" ht="15.75" thickBot="1">
      <c r="A4" s="39" t="s">
        <v>270</v>
      </c>
      <c r="B4" s="35">
        <v>9637.81</v>
      </c>
      <c r="C4" s="35">
        <v>6272.16</v>
      </c>
      <c r="D4" s="35">
        <v>7088.61</v>
      </c>
      <c r="E4" s="35">
        <v>5337.66</v>
      </c>
      <c r="F4" s="35">
        <v>4747.2700000000004</v>
      </c>
    </row>
    <row r="5" spans="1:6" ht="15.75" hidden="1" thickBot="1">
      <c r="A5" s="40" t="s">
        <v>271</v>
      </c>
      <c r="B5" s="36">
        <v>0</v>
      </c>
      <c r="C5" s="36">
        <v>0</v>
      </c>
      <c r="D5" s="36">
        <v>0</v>
      </c>
      <c r="E5" s="36">
        <v>0</v>
      </c>
      <c r="F5" s="36">
        <v>0</v>
      </c>
    </row>
    <row r="6" spans="1:6" ht="15.75" hidden="1" thickBot="1">
      <c r="A6" s="40" t="s">
        <v>272</v>
      </c>
      <c r="B6" s="36">
        <v>0</v>
      </c>
      <c r="C6" s="36">
        <v>0</v>
      </c>
      <c r="D6" s="36">
        <v>0</v>
      </c>
      <c r="E6" s="36">
        <v>0</v>
      </c>
      <c r="F6" s="36">
        <v>0</v>
      </c>
    </row>
    <row r="7" spans="1:6" ht="15.75" hidden="1" thickBot="1">
      <c r="A7" s="40" t="s">
        <v>273</v>
      </c>
      <c r="B7" s="36">
        <v>0</v>
      </c>
      <c r="C7" s="36">
        <v>0</v>
      </c>
      <c r="D7" s="36">
        <v>0</v>
      </c>
      <c r="E7" s="36">
        <v>0</v>
      </c>
      <c r="F7" s="36">
        <v>0</v>
      </c>
    </row>
    <row r="8" spans="1:6" ht="15.75" hidden="1" thickBot="1">
      <c r="A8" s="40" t="s">
        <v>274</v>
      </c>
      <c r="B8" s="36">
        <v>0</v>
      </c>
      <c r="C8" s="36">
        <v>0</v>
      </c>
      <c r="D8" s="36">
        <v>0</v>
      </c>
      <c r="E8" s="36">
        <v>0</v>
      </c>
      <c r="F8" s="36">
        <v>0</v>
      </c>
    </row>
    <row r="9" spans="1:6" ht="15.75" hidden="1" thickBot="1">
      <c r="A9" s="40" t="s">
        <v>275</v>
      </c>
      <c r="B9" s="36">
        <v>0</v>
      </c>
      <c r="C9" s="36">
        <v>0</v>
      </c>
      <c r="D9" s="36">
        <v>0</v>
      </c>
      <c r="E9" s="36">
        <v>0</v>
      </c>
      <c r="F9" s="36">
        <v>0</v>
      </c>
    </row>
    <row r="10" spans="1:6" ht="15.75" thickBot="1">
      <c r="A10" s="40" t="s">
        <v>276</v>
      </c>
      <c r="B10" s="36">
        <v>212.32</v>
      </c>
      <c r="C10" s="36">
        <v>221.11</v>
      </c>
      <c r="D10" s="36">
        <v>109.91</v>
      </c>
      <c r="E10" s="36">
        <v>137.74</v>
      </c>
      <c r="F10" s="36">
        <v>245</v>
      </c>
    </row>
    <row r="11" spans="1:6" ht="15.75" thickBot="1">
      <c r="A11" s="40" t="s">
        <v>277</v>
      </c>
      <c r="B11" s="36">
        <v>559.78</v>
      </c>
      <c r="C11" s="36">
        <v>217.45</v>
      </c>
      <c r="D11" s="36">
        <v>455.12</v>
      </c>
      <c r="E11" s="36">
        <v>253.06</v>
      </c>
      <c r="F11" s="36">
        <v>249.83</v>
      </c>
    </row>
    <row r="12" spans="1:6" ht="15.75" thickBot="1">
      <c r="A12" s="40" t="s">
        <v>278</v>
      </c>
      <c r="B12" s="36">
        <v>897.62</v>
      </c>
      <c r="C12" s="36">
        <v>814.15</v>
      </c>
      <c r="D12" s="36">
        <v>455.03</v>
      </c>
      <c r="E12" s="36">
        <v>731.21</v>
      </c>
      <c r="F12" s="36">
        <v>504.96</v>
      </c>
    </row>
    <row r="13" spans="1:6" ht="15.75" thickBot="1">
      <c r="A13" s="40" t="s">
        <v>279</v>
      </c>
      <c r="B13" s="36">
        <v>732.71</v>
      </c>
      <c r="C13" s="36">
        <v>796.57</v>
      </c>
      <c r="D13" s="36">
        <v>359.56</v>
      </c>
      <c r="E13" s="36">
        <v>491.77</v>
      </c>
      <c r="F13" s="36">
        <v>354.64</v>
      </c>
    </row>
    <row r="14" spans="1:6" ht="15.75" thickBot="1">
      <c r="A14" s="40" t="s">
        <v>280</v>
      </c>
      <c r="B14" s="36">
        <v>852.08</v>
      </c>
      <c r="C14" s="36">
        <v>749</v>
      </c>
      <c r="D14" s="36">
        <v>586.80999999999995</v>
      </c>
      <c r="E14" s="36">
        <v>575.91999999999996</v>
      </c>
      <c r="F14" s="36">
        <v>361.34</v>
      </c>
    </row>
    <row r="15" spans="1:6" ht="15.75" thickBot="1">
      <c r="A15" s="40" t="s">
        <v>281</v>
      </c>
      <c r="B15" s="36">
        <v>982.72</v>
      </c>
      <c r="C15" s="36">
        <v>390.17</v>
      </c>
      <c r="D15" s="36">
        <v>611.73</v>
      </c>
      <c r="E15" s="36">
        <v>364</v>
      </c>
      <c r="F15" s="36">
        <v>339.31</v>
      </c>
    </row>
    <row r="16" spans="1:6" ht="15.75" thickBot="1">
      <c r="A16" s="40" t="s">
        <v>282</v>
      </c>
      <c r="B16" s="36">
        <v>984.87</v>
      </c>
      <c r="C16" s="36">
        <v>454.74</v>
      </c>
      <c r="D16" s="36">
        <v>448.64</v>
      </c>
      <c r="E16" s="36">
        <v>438.18</v>
      </c>
      <c r="F16" s="36">
        <v>458.59</v>
      </c>
    </row>
    <row r="17" spans="1:6" ht="15.75" thickBot="1">
      <c r="A17" s="40" t="s">
        <v>283</v>
      </c>
      <c r="B17" s="36">
        <v>809.68</v>
      </c>
      <c r="C17" s="36">
        <v>430.15</v>
      </c>
      <c r="D17" s="36">
        <v>741.53</v>
      </c>
      <c r="E17" s="36">
        <v>463.07</v>
      </c>
      <c r="F17" s="36">
        <v>334.22</v>
      </c>
    </row>
    <row r="18" spans="1:6" ht="15.75" thickBot="1">
      <c r="A18" s="40" t="s">
        <v>284</v>
      </c>
      <c r="B18" s="36">
        <v>874.87</v>
      </c>
      <c r="C18" s="36">
        <v>637</v>
      </c>
      <c r="D18" s="37">
        <v>1109.57</v>
      </c>
      <c r="E18" s="36">
        <v>495.28</v>
      </c>
      <c r="F18" s="36">
        <v>510.59</v>
      </c>
    </row>
    <row r="19" spans="1:6" ht="15.75" thickBot="1">
      <c r="A19" s="40" t="s">
        <v>285</v>
      </c>
      <c r="B19" s="37">
        <v>1197.99</v>
      </c>
      <c r="C19" s="36">
        <v>532.78</v>
      </c>
      <c r="D19" s="36">
        <v>743.46</v>
      </c>
      <c r="E19" s="36">
        <v>480.08</v>
      </c>
      <c r="F19" s="36">
        <v>310.68</v>
      </c>
    </row>
    <row r="20" spans="1:6" ht="15.75" thickBot="1">
      <c r="A20" s="40" t="s">
        <v>286</v>
      </c>
      <c r="B20" s="36">
        <v>620.4</v>
      </c>
      <c r="C20" s="36">
        <v>445.32</v>
      </c>
      <c r="D20" s="36">
        <v>281.31</v>
      </c>
      <c r="E20" s="36">
        <v>420.36</v>
      </c>
      <c r="F20" s="36">
        <v>588.72</v>
      </c>
    </row>
    <row r="21" spans="1:6" ht="15.75" thickBot="1">
      <c r="A21" s="40" t="s">
        <v>287</v>
      </c>
      <c r="B21" s="36">
        <v>612.03</v>
      </c>
      <c r="C21" s="36">
        <v>449.84</v>
      </c>
      <c r="D21" s="36">
        <v>668.21</v>
      </c>
      <c r="E21" s="36">
        <v>370.72</v>
      </c>
      <c r="F21" s="36">
        <v>272.2</v>
      </c>
    </row>
    <row r="22" spans="1:6" ht="15.75" thickBot="1">
      <c r="A22" s="40" t="s">
        <v>288</v>
      </c>
      <c r="B22" s="36">
        <v>300.74</v>
      </c>
      <c r="C22" s="36">
        <v>133.88</v>
      </c>
      <c r="D22" s="36">
        <v>517.73</v>
      </c>
      <c r="E22" s="36">
        <v>116.27</v>
      </c>
      <c r="F22" s="36">
        <v>217.19</v>
      </c>
    </row>
    <row r="23" spans="1:6" ht="15.75" hidden="1" thickBot="1">
      <c r="A23" s="40" t="s">
        <v>289</v>
      </c>
      <c r="B23" s="36">
        <v>0</v>
      </c>
      <c r="C23" s="36">
        <v>0</v>
      </c>
      <c r="D23" s="36">
        <v>0</v>
      </c>
      <c r="E23" s="36">
        <v>0</v>
      </c>
      <c r="F23" s="36">
        <v>0</v>
      </c>
    </row>
    <row r="24" spans="1:6" ht="15.75" hidden="1" thickBot="1">
      <c r="A24" s="40" t="s">
        <v>290</v>
      </c>
      <c r="B24" s="36">
        <v>0</v>
      </c>
      <c r="C24" s="36">
        <v>0</v>
      </c>
      <c r="D24" s="36">
        <v>0</v>
      </c>
      <c r="E24" s="36">
        <v>0</v>
      </c>
      <c r="F24" s="36">
        <v>0</v>
      </c>
    </row>
    <row r="25" spans="1:6" ht="15.75" hidden="1" thickBot="1">
      <c r="A25" s="40" t="s">
        <v>291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</row>
    <row r="26" spans="1:6" ht="15.75" hidden="1" thickBot="1">
      <c r="A26" s="40" t="s">
        <v>292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</row>
    <row r="27" spans="1:6" ht="15.75" hidden="1" thickBot="1">
      <c r="A27" s="40" t="s">
        <v>293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</row>
    <row r="28" spans="1:6" ht="15.75" hidden="1" thickBot="1">
      <c r="A28" s="40" t="s">
        <v>294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</row>
  </sheetData>
  <mergeCells count="2">
    <mergeCell ref="A1:F1"/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1E3D-C2ED-4D9C-A480-F47170DF6CDA}">
  <dimension ref="A1:N34"/>
  <sheetViews>
    <sheetView zoomScale="63" workbookViewId="0">
      <selection activeCell="C7" sqref="C7"/>
    </sheetView>
  </sheetViews>
  <sheetFormatPr defaultRowHeight="15"/>
  <cols>
    <col min="1" max="1" width="34.85546875" bestFit="1" customWidth="1"/>
    <col min="2" max="2" width="18.85546875" bestFit="1" customWidth="1"/>
    <col min="3" max="3" width="13.140625" bestFit="1" customWidth="1"/>
    <col min="4" max="4" width="12.42578125" bestFit="1" customWidth="1"/>
    <col min="5" max="5" width="13.140625" bestFit="1" customWidth="1"/>
    <col min="6" max="6" width="12.42578125" bestFit="1" customWidth="1"/>
    <col min="7" max="7" width="11.7109375" bestFit="1" customWidth="1"/>
    <col min="8" max="8" width="12.140625" bestFit="1" customWidth="1"/>
    <col min="9" max="9" width="12.5703125" bestFit="1" customWidth="1"/>
    <col min="10" max="10" width="18.5703125" bestFit="1" customWidth="1"/>
  </cols>
  <sheetData>
    <row r="1" spans="1:14">
      <c r="A1" s="12" t="s">
        <v>21</v>
      </c>
      <c r="B1" s="12" t="s">
        <v>295</v>
      </c>
      <c r="C1" s="12" t="s">
        <v>181</v>
      </c>
      <c r="D1" s="12" t="s">
        <v>183</v>
      </c>
      <c r="E1" s="12" t="s">
        <v>185</v>
      </c>
      <c r="F1" s="12" t="s">
        <v>187</v>
      </c>
      <c r="G1" s="12" t="s">
        <v>189</v>
      </c>
      <c r="H1" s="12" t="s">
        <v>191</v>
      </c>
      <c r="I1" s="12" t="s">
        <v>193</v>
      </c>
      <c r="J1" s="12" t="s">
        <v>296</v>
      </c>
    </row>
    <row r="2" spans="1:14">
      <c r="A2" t="s">
        <v>207</v>
      </c>
      <c r="B2" s="1" t="s">
        <v>297</v>
      </c>
      <c r="C2" s="11">
        <f ca="1">SUM(IFERROR(Calculations!U$17*Calculations!L28/SUM(Calculations!L$28:L$32),0)*$L$3)</f>
        <v>1.73854447466336</v>
      </c>
      <c r="D2" s="11">
        <f ca="1">SUM(IFERROR(Calculations!V$17*Calculations!M$28/SUM(Calculations!M$28:M$32),0)*$L$3)</f>
        <v>0.99010432276434934</v>
      </c>
      <c r="E2" s="11">
        <f ca="1">SUM(IFERROR(Calculations!W$17*Calculations!N$28/SUM(Calculations!N$28:N$32),0)*$L$3)</f>
        <v>0.97987193605782508</v>
      </c>
      <c r="F2" s="11">
        <f ca="1">SUM(IFERROR(Calculations!X$17*Calculations!O$28/SUM(Calculations!O$28:O$32),0)*$L$3)</f>
        <v>1.0068208029820429</v>
      </c>
      <c r="G2" s="11">
        <f ca="1">SUM(IFERROR(Calculations!Y$17*Calculations!P$28/SUM(Calculations!P$28:P$32),0)*$L$3)</f>
        <v>0.74930364197984167</v>
      </c>
      <c r="H2" s="11">
        <f ca="1">SUM(IFERROR(Calculations!Z$17*Calculations!Q$28/SUM(Calculations!Q$28:Q$32),0)*$L$3)</f>
        <v>0.8901282369800112</v>
      </c>
      <c r="I2" s="11">
        <f ca="1">SUM(IFERROR(Calculations!AA$17*Calculations!R$28/SUM(Calculations!R$28:R$32),0)*$L$3)</f>
        <v>0.83754563688704953</v>
      </c>
      <c r="J2" s="11">
        <f t="shared" ref="J2:J26" ca="1" si="0">SUM(C2:I2)</f>
        <v>7.1923190523144802</v>
      </c>
      <c r="L2" s="137" t="s">
        <v>298</v>
      </c>
      <c r="M2" s="137"/>
    </row>
    <row r="3" spans="1:14" ht="14.45" customHeight="1">
      <c r="A3" t="s">
        <v>207</v>
      </c>
      <c r="B3" s="1" t="s">
        <v>299</v>
      </c>
      <c r="C3" s="11">
        <f ca="1">SUM(IFERROR(Calculations!U$17*Calculations!L29/SUM(Calculations!L$28:L$32),0)*$L$3)</f>
        <v>2.8329008111604623</v>
      </c>
      <c r="D3" s="11">
        <f ca="1">SUM(IFERROR(Calculations!V$17*Calculations!M29/SUM(Calculations!M$28:M$32),0)*$L$3)</f>
        <v>2.8141925112124673</v>
      </c>
      <c r="E3" s="11">
        <f ca="1">SUM(IFERROR(Calculations!W$17*Calculations!N29/SUM(Calculations!N$28:N$32),0)*$L$3)</f>
        <v>2.7431268386964089</v>
      </c>
      <c r="F3" s="11">
        <f ca="1">SUM(IFERROR(Calculations!X$17*Calculations!O29/SUM(Calculations!O$28:O$32),0)*$L$3)</f>
        <v>3.3249539910701587</v>
      </c>
      <c r="G3" s="11">
        <f ca="1">SUM(IFERROR(Calculations!Y$17*Calculations!P29/SUM(Calculations!P$28:P$32),0)*$L$3)</f>
        <v>2.936289598152559</v>
      </c>
      <c r="H3" s="11">
        <f ca="1">SUM(IFERROR(Calculations!Z$17*Calculations!Q29/SUM(Calculations!Q$28:Q$32),0)*$L$3)</f>
        <v>3.219800323225404</v>
      </c>
      <c r="I3" s="11">
        <f ca="1">SUM(IFERROR(Calculations!AA$17*Calculations!R29/SUM(Calculations!R$28:R$32),0)*$L$3)</f>
        <v>2.7339142999169512</v>
      </c>
      <c r="J3" s="11">
        <f t="shared" ca="1" si="0"/>
        <v>20.605178373434409</v>
      </c>
      <c r="L3" s="136">
        <f ca="1">'Prep Guide'!B4/_xlfn.XLOOKUP('Prep Guide'!H4,Calculations!C6:I6,Calculations!C24:I24)</f>
        <v>0.97734090877191171</v>
      </c>
      <c r="M3" s="136"/>
      <c r="N3" t="s">
        <v>300</v>
      </c>
    </row>
    <row r="4" spans="1:14">
      <c r="A4" t="s">
        <v>207</v>
      </c>
      <c r="B4" s="1" t="s">
        <v>301</v>
      </c>
      <c r="C4" s="11">
        <f ca="1">SUM(IFERROR(Calculations!U$17*Calculations!L30/SUM(Calculations!L$28:L$32),0)*$L$3)</f>
        <v>2.3189200302259834</v>
      </c>
      <c r="D4" s="11">
        <f ca="1">SUM(IFERROR(Calculations!V$17*Calculations!M30/SUM(Calculations!M$28:M$32),0)*$L$3)</f>
        <v>2.2682516501933523</v>
      </c>
      <c r="E4" s="11">
        <f ca="1">SUM(IFERROR(Calculations!W$17*Calculations!N30/SUM(Calculations!N$28:N$32),0)*$L$3)</f>
        <v>2.3839805298158665</v>
      </c>
      <c r="F4" s="11">
        <f ca="1">SUM(IFERROR(Calculations!X$17*Calculations!O30/SUM(Calculations!O$28:O$32),0)*$L$3)</f>
        <v>3.1806399027052965</v>
      </c>
      <c r="G4" s="11">
        <f ca="1">SUM(IFERROR(Calculations!Y$17*Calculations!P30/SUM(Calculations!P$28:P$32),0)*$L$3)</f>
        <v>2.98325219905899</v>
      </c>
      <c r="H4" s="11">
        <f ca="1">SUM(IFERROR(Calculations!Z$17*Calculations!Q30/SUM(Calculations!Q$28:Q$32),0)*$L$3)</f>
        <v>3.1023451405528943</v>
      </c>
      <c r="I4" s="11">
        <f ca="1">SUM(IFERROR(Calculations!AA$17*Calculations!R30/SUM(Calculations!R$28:R$32),0)*$L$3)</f>
        <v>2.2396404742277172</v>
      </c>
      <c r="J4" s="11">
        <f t="shared" ca="1" si="0"/>
        <v>18.477029926780098</v>
      </c>
    </row>
    <row r="5" spans="1:14">
      <c r="A5" t="s">
        <v>207</v>
      </c>
      <c r="B5" s="1" t="s">
        <v>302</v>
      </c>
      <c r="C5" s="11">
        <f ca="1">SUM(IFERROR(Calculations!U$17*Calculations!L31/SUM(Calculations!L$28:L$32),0)*$L$3)</f>
        <v>2.7168890221438149</v>
      </c>
      <c r="D5" s="11">
        <f ca="1">SUM(IFERROR(Calculations!V$17*Calculations!M31/SUM(Calculations!M$28:M$32),0)*$L$3)</f>
        <v>3.5279960367431347</v>
      </c>
      <c r="E5" s="11">
        <f ca="1">SUM(IFERROR(Calculations!W$17*Calculations!N31/SUM(Calculations!N$28:N$32),0)*$L$3)</f>
        <v>4.074837545526508</v>
      </c>
      <c r="F5" s="11">
        <f ca="1">SUM(IFERROR(Calculations!X$17*Calculations!O31/SUM(Calculations!O$28:O$32),0)*$L$3)</f>
        <v>5.4199787622899569</v>
      </c>
      <c r="G5" s="11">
        <f ca="1">SUM(IFERROR(Calculations!Y$17*Calculations!P31/SUM(Calculations!P$28:P$32),0)*$L$3)</f>
        <v>6.7646668121775466</v>
      </c>
      <c r="H5" s="11">
        <f ca="1">SUM(IFERROR(Calculations!Z$17*Calculations!Q31/SUM(Calculations!Q$28:Q$32),0)*$L$3)</f>
        <v>4.8438688484365198</v>
      </c>
      <c r="I5" s="11">
        <f ca="1">SUM(IFERROR(Calculations!AA$17*Calculations!R31/SUM(Calculations!R$28:R$32),0)*$L$3)</f>
        <v>2.9612313377703923</v>
      </c>
      <c r="J5" s="11">
        <f t="shared" ca="1" si="0"/>
        <v>30.309468365087874</v>
      </c>
      <c r="L5" s="136">
        <f ca="1">'Prep Guide'!B4/_xlfn.XLOOKUP('Prep Guide'!H4,Calculations!C6:I6,Calculations!C35:I35)</f>
        <v>0.876460187309413</v>
      </c>
      <c r="M5" s="136"/>
      <c r="N5" t="s">
        <v>303</v>
      </c>
    </row>
    <row r="6" spans="1:14">
      <c r="A6" t="s">
        <v>207</v>
      </c>
      <c r="B6" s="1" t="s">
        <v>304</v>
      </c>
      <c r="C6" s="11">
        <f ca="1">SUM(IFERROR(Calculations!U$17*Calculations!L32/SUM(Calculations!L$28:L$32),0)*$L$3)</f>
        <v>0.66655329481671755</v>
      </c>
      <c r="D6" s="11">
        <f ca="1">SUM(IFERROR(Calculations!V$17*Calculations!M32/SUM(Calculations!M$28:M$32),0)*$L$3)</f>
        <v>1.5645980208970161</v>
      </c>
      <c r="E6" s="11">
        <f ca="1">SUM(IFERROR(Calculations!W$17*Calculations!N32/SUM(Calculations!N$28:N$32),0)*$L$3)</f>
        <v>1.233524964359318</v>
      </c>
      <c r="F6" s="11">
        <f ca="1">SUM(IFERROR(Calculations!X$17*Calculations!O32/SUM(Calculations!O$28:O$32),0)*$L$3)</f>
        <v>1.9544632633663024</v>
      </c>
      <c r="G6" s="11">
        <f ca="1">SUM(IFERROR(Calculations!Y$17*Calculations!P32/SUM(Calculations!P$28:P$32),0)*$L$3)</f>
        <v>1.7973684709325344</v>
      </c>
      <c r="H6" s="11">
        <f ca="1">SUM(IFERROR(Calculations!Z$17*Calculations!Q32/SUM(Calculations!Q$28:Q$32),0)*$L$3)</f>
        <v>1.3269122949218823</v>
      </c>
      <c r="I6" s="11">
        <f ca="1">SUM(IFERROR(Calculations!AA$17*Calculations!R32/SUM(Calculations!R$28:R$32),0)*$L$3)</f>
        <v>0.68832824810999671</v>
      </c>
      <c r="J6" s="11">
        <f t="shared" ca="1" si="0"/>
        <v>9.2317485574037672</v>
      </c>
    </row>
    <row r="7" spans="1:14">
      <c r="A7" t="s">
        <v>125</v>
      </c>
      <c r="B7" s="1" t="s">
        <v>297</v>
      </c>
      <c r="C7" s="11">
        <f ca="1">SUM(IFERROR(Calculations!U$18*Calculations!L28/SUM(Calculations!L$28:L$32),0)*$L$3)</f>
        <v>2.4450762474717576</v>
      </c>
      <c r="D7" s="11">
        <f ca="1">SUM(IFERROR(Calculations!V$18*Calculations!M28/SUM(Calculations!M$28:M$32),0)*$L$3)</f>
        <v>1.2826981772507324</v>
      </c>
      <c r="E7" s="11">
        <f ca="1">SUM(IFERROR(Calculations!W$18*Calculations!N28/SUM(Calculations!N$28:N$32),0)*$L$3)</f>
        <v>1.308733065282712</v>
      </c>
      <c r="F7" s="11">
        <f ca="1">SUM(IFERROR(Calculations!X$18*Calculations!O28/SUM(Calculations!O$28:O$32),0)*$L$3)</f>
        <v>1.4488912816023096</v>
      </c>
      <c r="G7" s="11">
        <f ca="1">SUM(IFERROR(Calculations!Y$18*Calculations!P28/SUM(Calculations!P$28:P$32),0)*$L$3)</f>
        <v>1.0347160148489603</v>
      </c>
      <c r="H7" s="11">
        <f ca="1">SUM(IFERROR(Calculations!Z$18*Calculations!Q28/SUM(Calculations!Q$28:Q$32),0)*$L$3)</f>
        <v>1.2784217619722653</v>
      </c>
      <c r="I7" s="11">
        <f ca="1">SUM(IFERROR(Calculations!AA$18*Calculations!R28/SUM(Calculations!R$28:R$32),0)*$L$3)</f>
        <v>1.1074983628258503</v>
      </c>
      <c r="J7" s="11">
        <f t="shared" ca="1" si="0"/>
        <v>9.9060349112545882</v>
      </c>
    </row>
    <row r="8" spans="1:14">
      <c r="A8" t="s">
        <v>125</v>
      </c>
      <c r="B8" s="1" t="s">
        <v>299</v>
      </c>
      <c r="C8" s="11">
        <f ca="1">SUM(IFERROR(Calculations!U$18*Calculations!L29/SUM(Calculations!L$28:L$32),0)*$L$3)</f>
        <v>3.9841710038238465</v>
      </c>
      <c r="D8" s="11">
        <f ca="1">SUM(IFERROR(Calculations!V$18*Calculations!M29/SUM(Calculations!M$28:M$32),0)*$L$3)</f>
        <v>3.6458376370749748</v>
      </c>
      <c r="E8" s="11">
        <f ca="1">SUM(IFERROR(Calculations!W$18*Calculations!N29/SUM(Calculations!N$28:N$32),0)*$L$3)</f>
        <v>3.6637652982589031</v>
      </c>
      <c r="F8" s="11">
        <f ca="1">SUM(IFERROR(Calculations!X$18*Calculations!O29/SUM(Calculations!O$28:O$32),0)*$L$3)</f>
        <v>4.784860260258526</v>
      </c>
      <c r="G8" s="11">
        <f ca="1">SUM(IFERROR(Calculations!Y$18*Calculations!P29/SUM(Calculations!P$28:P$32),0)*$L$3)</f>
        <v>4.0547325559704239</v>
      </c>
      <c r="H8" s="11">
        <f ca="1">SUM(IFERROR(Calculations!Z$18*Calculations!Q29/SUM(Calculations!Q$28:Q$32),0)*$L$3)</f>
        <v>4.6243480786343429</v>
      </c>
      <c r="I8" s="11">
        <f ca="1">SUM(IFERROR(Calculations!AA$18*Calculations!R29/SUM(Calculations!R$28:R$32),0)*$L$3)</f>
        <v>3.6150932891463805</v>
      </c>
      <c r="J8" s="11">
        <f t="shared" ca="1" si="0"/>
        <v>28.372808123167395</v>
      </c>
    </row>
    <row r="9" spans="1:14">
      <c r="A9" t="s">
        <v>125</v>
      </c>
      <c r="B9" s="1" t="s">
        <v>301</v>
      </c>
      <c r="C9" s="11">
        <f ca="1">SUM(IFERROR(Calculations!U$18*Calculations!L30/SUM(Calculations!L$28:L$32),0)*$L$3)</f>
        <v>3.2613121886283225</v>
      </c>
      <c r="D9" s="11">
        <f ca="1">SUM(IFERROR(Calculations!V$18*Calculations!M30/SUM(Calculations!M$28:M$32),0)*$L$3)</f>
        <v>2.9385613115250018</v>
      </c>
      <c r="E9" s="11">
        <f ca="1">SUM(IFERROR(Calculations!W$18*Calculations!N30/SUM(Calculations!N$28:N$32),0)*$L$3)</f>
        <v>3.1840835843431101</v>
      </c>
      <c r="F9" s="11">
        <f ca="1">SUM(IFERROR(Calculations!X$18*Calculations!O30/SUM(Calculations!O$28:O$32),0)*$L$3)</f>
        <v>4.577181372590605</v>
      </c>
      <c r="G9" s="11">
        <f ca="1">SUM(IFERROR(Calculations!Y$18*Calculations!P30/SUM(Calculations!P$28:P$32),0)*$L$3)</f>
        <v>4.1195833754972719</v>
      </c>
      <c r="H9" s="11">
        <f ca="1">SUM(IFERROR(Calculations!Z$18*Calculations!Q30/SUM(Calculations!Q$28:Q$32),0)*$L$3)</f>
        <v>4.4556563605798623</v>
      </c>
      <c r="I9" s="11">
        <f ca="1">SUM(IFERROR(Calculations!AA$18*Calculations!R30/SUM(Calculations!R$28:R$32),0)*$L$3)</f>
        <v>2.9615080650945007</v>
      </c>
      <c r="J9" s="11">
        <f t="shared" ca="1" si="0"/>
        <v>25.497886258258674</v>
      </c>
    </row>
    <row r="10" spans="1:14">
      <c r="A10" t="s">
        <v>125</v>
      </c>
      <c r="B10" s="1" t="s">
        <v>302</v>
      </c>
      <c r="C10" s="11">
        <f ca="1">SUM(IFERROR(Calculations!U$18*Calculations!L31/SUM(Calculations!L$28:L$32),0)*$L$3)</f>
        <v>3.8210128713255473</v>
      </c>
      <c r="D10" s="11">
        <f ca="1">SUM(IFERROR(Calculations!V$18*Calculations!M31/SUM(Calculations!M$28:M$32),0)*$L$3)</f>
        <v>4.5705831008226889</v>
      </c>
      <c r="E10" s="11">
        <f ca="1">SUM(IFERROR(Calculations!W$18*Calculations!N31/SUM(Calculations!N$28:N$32),0)*$L$3)</f>
        <v>5.4424200094360904</v>
      </c>
      <c r="F10" s="11">
        <f ca="1">SUM(IFERROR(Calculations!X$18*Calculations!O31/SUM(Calculations!O$28:O$32),0)*$L$3)</f>
        <v>7.7997593532954204</v>
      </c>
      <c r="G10" s="11">
        <f ca="1">SUM(IFERROR(Calculations!Y$18*Calculations!P31/SUM(Calculations!P$28:P$32),0)*$L$3)</f>
        <v>9.3413520147626308</v>
      </c>
      <c r="H10" s="11">
        <f ca="1">SUM(IFERROR(Calculations!Z$18*Calculations!Q31/SUM(Calculations!Q$28:Q$32),0)*$L$3)</f>
        <v>6.9568710335383308</v>
      </c>
      <c r="I10" s="11">
        <f ca="1">SUM(IFERROR(Calculations!AA$18*Calculations!R31/SUM(Calculations!R$28:R$32),0)*$L$3)</f>
        <v>3.9156778020104346</v>
      </c>
      <c r="J10" s="11">
        <f t="shared" ca="1" si="0"/>
        <v>41.847676185191148</v>
      </c>
    </row>
    <row r="11" spans="1:14">
      <c r="A11" t="s">
        <v>125</v>
      </c>
      <c r="B11" s="1" t="s">
        <v>304</v>
      </c>
      <c r="C11" s="11">
        <f ca="1">SUM(IFERROR(Calculations!U$18*Calculations!L32/SUM(Calculations!L$28:L$32),0)*$L$3)</f>
        <v>0.93743568403447008</v>
      </c>
      <c r="D11" s="11">
        <f ca="1">SUM(IFERROR(Calculations!V$18*Calculations!M32/SUM(Calculations!M$28:M$32),0)*$L$3)</f>
        <v>2.0269652231508961</v>
      </c>
      <c r="E11" s="11">
        <f ca="1">SUM(IFERROR(Calculations!W$18*Calculations!N32/SUM(Calculations!N$28:N$32),0)*$L$3)</f>
        <v>1.6475162195210074</v>
      </c>
      <c r="F11" s="11">
        <f ca="1">SUM(IFERROR(Calculations!X$18*Calculations!O32/SUM(Calculations!O$28:O$32),0)*$L$3)</f>
        <v>2.8126204525334395</v>
      </c>
      <c r="G11" s="11">
        <f ca="1">SUM(IFERROR(Calculations!Y$18*Calculations!P32/SUM(Calculations!P$28:P$32),0)*$L$3)</f>
        <v>2.4819923956922576</v>
      </c>
      <c r="H11" s="11">
        <f ca="1">SUM(IFERROR(Calculations!Z$18*Calculations!Q32/SUM(Calculations!Q$28:Q$32),0)*$L$3)</f>
        <v>1.9057406377894608</v>
      </c>
      <c r="I11" s="11">
        <f ca="1">SUM(IFERROR(Calculations!AA$18*Calculations!R32/SUM(Calculations!R$28:R$32),0)*$L$3)</f>
        <v>0.91018611320330101</v>
      </c>
      <c r="J11" s="11">
        <f t="shared" ca="1" si="0"/>
        <v>12.722456725924831</v>
      </c>
    </row>
    <row r="12" spans="1:14">
      <c r="A12" t="s">
        <v>45</v>
      </c>
      <c r="B12" s="1" t="s">
        <v>297</v>
      </c>
      <c r="C12" s="11">
        <f ca="1">SUM(IFERROR(Calculations!U$19*Calculations!L28/SUM(Calculations!L$28:L$32),0)*$L$3)</f>
        <v>0.82362552167271053</v>
      </c>
      <c r="D12" s="11">
        <f ca="1">SUM(IFERROR(Calculations!V$19*Calculations!M28/SUM(Calculations!M$28:M$32),0)*$L$3)</f>
        <v>0.59905471629439622</v>
      </c>
      <c r="E12" s="11">
        <f ca="1">SUM(IFERROR(Calculations!W$19*Calculations!N28/SUM(Calculations!N$28:N$32),0)*$L$3)</f>
        <v>0.53557383902338673</v>
      </c>
      <c r="F12" s="11">
        <f ca="1">SUM(IFERROR(Calculations!X$19*Calculations!O28/SUM(Calculations!O$28:O$32),0)*$L$3)</f>
        <v>0.63772368088043274</v>
      </c>
      <c r="G12" s="11">
        <f ca="1">SUM(IFERROR(Calculations!Y$19*Calculations!P28/SUM(Calculations!P$28:P$32),0)*$L$3)</f>
        <v>0.43388835120803987</v>
      </c>
      <c r="H12" s="11">
        <f ca="1">SUM(IFERROR(Calculations!Z$19*Calculations!Q28/SUM(Calculations!Q$28:Q$32),0)*$L$3)</f>
        <v>0.48450451325512284</v>
      </c>
      <c r="I12" s="11">
        <f ca="1">SUM(IFERROR(Calculations!AA$19*Calculations!R28/SUM(Calculations!R$28:R$32),0)*$L$3)</f>
        <v>0.55859448675028844</v>
      </c>
      <c r="J12" s="11">
        <f t="shared" ca="1" si="0"/>
        <v>4.072965109084377</v>
      </c>
    </row>
    <row r="13" spans="1:14">
      <c r="A13" t="s">
        <v>45</v>
      </c>
      <c r="B13" s="1" t="s">
        <v>299</v>
      </c>
      <c r="C13" s="11">
        <f ca="1">SUM(IFERROR(Calculations!U$19*Calculations!L29/SUM(Calculations!L$28:L$32),0)*$L$3)</f>
        <v>1.3420705897620913</v>
      </c>
      <c r="D13" s="11">
        <f ca="1">SUM(IFERROR(Calculations!V$19*Calculations!M29/SUM(Calculations!M$28:M$32),0)*$L$3)</f>
        <v>1.7027047126663668</v>
      </c>
      <c r="E13" s="11">
        <f ca="1">SUM(IFERROR(Calculations!W$19*Calculations!N29/SUM(Calculations!N$28:N$32),0)*$L$3)</f>
        <v>1.4993254912874896</v>
      </c>
      <c r="F13" s="11">
        <f ca="1">SUM(IFERROR(Calculations!X$19*Calculations!O29/SUM(Calculations!O$28:O$32),0)*$L$3)</f>
        <v>2.1060370342597747</v>
      </c>
      <c r="G13" s="11">
        <f ca="1">SUM(IFERROR(Calculations!Y$19*Calculations!P29/SUM(Calculations!P$28:P$32),0)*$L$3)</f>
        <v>1.7002744695667795</v>
      </c>
      <c r="H13" s="11">
        <f ca="1">SUM(IFERROR(Calculations!Z$19*Calculations!Q29/SUM(Calculations!Q$28:Q$32),0)*$L$3)</f>
        <v>1.7525652187776213</v>
      </c>
      <c r="I13" s="11">
        <f ca="1">SUM(IFERROR(Calculations!AA$19*Calculations!R29/SUM(Calculations!R$28:R$32),0)*$L$3)</f>
        <v>1.8233626777132061</v>
      </c>
      <c r="J13" s="11">
        <f t="shared" ca="1" si="0"/>
        <v>11.926340194033328</v>
      </c>
    </row>
    <row r="14" spans="1:14">
      <c r="A14" t="s">
        <v>45</v>
      </c>
      <c r="B14" s="1" t="s">
        <v>301</v>
      </c>
      <c r="C14" s="11">
        <f ca="1">SUM(IFERROR(Calculations!U$19*Calculations!L30/SUM(Calculations!L$28:L$32),0)*$L$3)</f>
        <v>1.0985751284746381</v>
      </c>
      <c r="D14" s="11">
        <f ca="1">SUM(IFERROR(Calculations!V$19*Calculations!M30/SUM(Calculations!M$28:M$32),0)*$L$3)</f>
        <v>1.3723875530581631</v>
      </c>
      <c r="E14" s="11">
        <f ca="1">SUM(IFERROR(Calculations!W$19*Calculations!N30/SUM(Calculations!N$28:N$32),0)*$L$3)</f>
        <v>1.3030249745157958</v>
      </c>
      <c r="F14" s="11">
        <f ca="1">SUM(IFERROR(Calculations!X$19*Calculations!O30/SUM(Calculations!O$28:O$32),0)*$L$3)</f>
        <v>2.0146280056000987</v>
      </c>
      <c r="G14" s="11">
        <f ca="1">SUM(IFERROR(Calculations!Y$19*Calculations!P30/SUM(Calculations!P$28:P$32),0)*$L$3)</f>
        <v>1.7274684191676291</v>
      </c>
      <c r="H14" s="11">
        <f ca="1">SUM(IFERROR(Calculations!Z$19*Calculations!Q30/SUM(Calculations!Q$28:Q$32),0)*$L$3)</f>
        <v>1.6886333449803026</v>
      </c>
      <c r="I14" s="11">
        <f ca="1">SUM(IFERROR(Calculations!AA$19*Calculations!R30/SUM(Calculations!R$28:R$32),0)*$L$3)</f>
        <v>1.4937106303320391</v>
      </c>
      <c r="J14" s="11">
        <f t="shared" ca="1" si="0"/>
        <v>10.698428056128666</v>
      </c>
    </row>
    <row r="15" spans="1:14">
      <c r="A15" t="s">
        <v>45</v>
      </c>
      <c r="B15" s="1" t="s">
        <v>302</v>
      </c>
      <c r="C15" s="11">
        <f ca="1">SUM(IFERROR(Calculations!U$19*Calculations!L31/SUM(Calculations!L$28:L$32),0)*$L$3)</f>
        <v>1.2871106668832</v>
      </c>
      <c r="D15" s="11">
        <f ca="1">SUM(IFERROR(Calculations!V$19*Calculations!M31/SUM(Calculations!M$28:M$32),0)*$L$3)</f>
        <v>2.1345858373571911</v>
      </c>
      <c r="E15" s="11">
        <f ca="1">SUM(IFERROR(Calculations!W$19*Calculations!N31/SUM(Calculations!N$28:N$32),0)*$L$3)</f>
        <v>2.2272057269384615</v>
      </c>
      <c r="F15" s="11">
        <f ca="1">SUM(IFERROR(Calculations!X$19*Calculations!O31/SUM(Calculations!O$28:O$32),0)*$L$3)</f>
        <v>3.4330327664504661</v>
      </c>
      <c r="G15" s="11">
        <f ca="1">SUM(IFERROR(Calculations!Y$19*Calculations!P31/SUM(Calculations!P$28:P$32),0)*$L$3)</f>
        <v>3.9171171273800169</v>
      </c>
      <c r="H15" s="11">
        <f ca="1">SUM(IFERROR(Calculations!Z$19*Calculations!Q31/SUM(Calculations!Q$28:Q$32),0)*$L$3)</f>
        <v>2.6365597912563357</v>
      </c>
      <c r="I15" s="11">
        <f ca="1">SUM(IFERROR(Calculations!AA$19*Calculations!R31/SUM(Calculations!R$28:R$32),0)*$L$3)</f>
        <v>1.9749699913890133</v>
      </c>
      <c r="J15" s="11">
        <f t="shared" ca="1" si="0"/>
        <v>17.610581907654684</v>
      </c>
    </row>
    <row r="16" spans="1:14">
      <c r="A16" t="s">
        <v>45</v>
      </c>
      <c r="B16" s="1" t="s">
        <v>304</v>
      </c>
      <c r="C16" s="11">
        <f ca="1">SUM(IFERROR(Calculations!U$19*Calculations!L32/SUM(Calculations!L$28:L$32),0)*$L$3)</f>
        <v>0.31577581889148143</v>
      </c>
      <c r="D16" s="11">
        <f ca="1">SUM(IFERROR(Calculations!V$19*Calculations!M32/SUM(Calculations!M$28:M$32),0)*$L$3)</f>
        <v>0.94664754205533752</v>
      </c>
      <c r="E16" s="11">
        <f ca="1">SUM(IFERROR(Calculations!W$19*Calculations!N32/SUM(Calculations!N$28:N$32),0)*$L$3)</f>
        <v>0.6742143298347506</v>
      </c>
      <c r="F16" s="11">
        <f ca="1">SUM(IFERROR(Calculations!X$19*Calculations!O32/SUM(Calculations!O$28:O$32),0)*$L$3)</f>
        <v>1.2379636006406307</v>
      </c>
      <c r="G16" s="11">
        <f ca="1">SUM(IFERROR(Calculations!Y$19*Calculations!P32/SUM(Calculations!P$28:P$32),0)*$L$3)</f>
        <v>1.0407759934352665</v>
      </c>
      <c r="H16" s="11">
        <f ca="1">SUM(IFERROR(Calculations!Z$19*Calculations!Q32/SUM(Calculations!Q$28:Q$32),0)*$L$3)</f>
        <v>0.72224986117118495</v>
      </c>
      <c r="I16" s="11">
        <f ca="1">SUM(IFERROR(Calculations!AA$19*Calculations!R32/SUM(Calculations!R$28:R$32),0)*$L$3)</f>
        <v>0.4590751208469151</v>
      </c>
      <c r="J16" s="11">
        <f t="shared" ca="1" si="0"/>
        <v>5.3967022668755664</v>
      </c>
    </row>
    <row r="17" spans="1:10">
      <c r="A17" t="s">
        <v>146</v>
      </c>
      <c r="B17" s="1" t="s">
        <v>297</v>
      </c>
      <c r="C17" s="11">
        <f ca="1">SUM(IFERROR(Calculations!U$20*Calculations!L28/SUM(Calculations!L$28:L$32),0)*$L$3)</f>
        <v>0.81171768280515322</v>
      </c>
      <c r="D17" s="11">
        <f ca="1">SUM(IFERROR(Calculations!V$20*Calculations!M28/SUM(Calculations!M$28:M$32),0)*$L$3)</f>
        <v>0.49297211028393023</v>
      </c>
      <c r="E17" s="11">
        <f ca="1">SUM(IFERROR(Calculations!W$20*Calculations!N28/SUM(Calculations!N$28:N$32),0)*$L$3)</f>
        <v>0.47819092769945237</v>
      </c>
      <c r="F17" s="11">
        <f ca="1">SUM(IFERROR(Calculations!X$20*Calculations!O28/SUM(Calculations!O$28:O$32),0)*$L$3)</f>
        <v>0.49574291113217717</v>
      </c>
      <c r="G17" s="11">
        <f ca="1">SUM(IFERROR(Calculations!Y$20*Calculations!P28/SUM(Calculations!P$28:P$32),0)*$L$3)</f>
        <v>0.34214865992868032</v>
      </c>
      <c r="H17" s="11">
        <f ca="1">SUM(IFERROR(Calculations!Z$20*Calculations!Q28/SUM(Calculations!Q$28:Q$32),0)*$L$3)</f>
        <v>0.44506628530655129</v>
      </c>
      <c r="I17" s="11">
        <f ca="1">SUM(IFERROR(Calculations!AA$20*Calculations!R28/SUM(Calculations!R$28:R$32),0)*$L$3)</f>
        <v>0.40596736862335081</v>
      </c>
      <c r="J17" s="11">
        <f t="shared" ca="1" si="0"/>
        <v>3.471805945779296</v>
      </c>
    </row>
    <row r="18" spans="1:10">
      <c r="A18" t="s">
        <v>146</v>
      </c>
      <c r="B18" s="1" t="s">
        <v>299</v>
      </c>
      <c r="C18" s="11">
        <f ca="1">SUM(IFERROR(Calculations!U$20*Calculations!L29/SUM(Calculations!L$28:L$32),0)*$L$3)</f>
        <v>1.3226671595486632</v>
      </c>
      <c r="D18" s="11">
        <f ca="1">SUM(IFERROR(Calculations!V$20*Calculations!M29/SUM(Calculations!M$28:M$32),0)*$L$3)</f>
        <v>1.4011840864650309</v>
      </c>
      <c r="E18" s="11">
        <f ca="1">SUM(IFERROR(Calculations!W$20*Calculations!N29/SUM(Calculations!N$28:N$32),0)*$L$3)</f>
        <v>1.3386834743638298</v>
      </c>
      <c r="F18" s="11">
        <f ca="1">SUM(IFERROR(Calculations!X$20*Calculations!O29/SUM(Calculations!O$28:O$32),0)*$L$3)</f>
        <v>1.6371556547417405</v>
      </c>
      <c r="G18" s="11">
        <f ca="1">SUM(IFERROR(Calculations!Y$20*Calculations!P29/SUM(Calculations!P$28:P$32),0)*$L$3)</f>
        <v>1.3407749474110375</v>
      </c>
      <c r="H18" s="11">
        <f ca="1">SUM(IFERROR(Calculations!Z$20*Calculations!Q29/SUM(Calculations!Q$28:Q$32),0)*$L$3)</f>
        <v>1.6099079994908012</v>
      </c>
      <c r="I18" s="11">
        <f ca="1">SUM(IFERROR(Calculations!AA$20*Calculations!R29/SUM(Calculations!R$28:R$32),0)*$L$3)</f>
        <v>1.3251576338027204</v>
      </c>
      <c r="J18" s="11">
        <f t="shared" ca="1" si="0"/>
        <v>9.9755309558238245</v>
      </c>
    </row>
    <row r="19" spans="1:10">
      <c r="A19" t="s">
        <v>146</v>
      </c>
      <c r="B19" s="1" t="s">
        <v>301</v>
      </c>
      <c r="C19" s="11">
        <f ca="1">SUM(IFERROR(Calculations!U$20*Calculations!L30/SUM(Calculations!L$28:L$32),0)*$L$3)</f>
        <v>1.0826921145689805</v>
      </c>
      <c r="D19" s="11">
        <f ca="1">SUM(IFERROR(Calculations!V$20*Calculations!M30/SUM(Calculations!M$28:M$32),0)*$L$3)</f>
        <v>1.1293605905374466</v>
      </c>
      <c r="E19" s="11">
        <f ca="1">SUM(IFERROR(Calculations!W$20*Calculations!N30/SUM(Calculations!N$28:N$32),0)*$L$3)</f>
        <v>1.1634151558176746</v>
      </c>
      <c r="F19" s="11">
        <f ca="1">SUM(IFERROR(Calculations!X$20*Calculations!O30/SUM(Calculations!O$28:O$32),0)*$L$3)</f>
        <v>1.5660976411692311</v>
      </c>
      <c r="G19" s="11">
        <f ca="1">SUM(IFERROR(Calculations!Y$20*Calculations!P30/SUM(Calculations!P$28:P$32),0)*$L$3)</f>
        <v>1.3622191124553242</v>
      </c>
      <c r="H19" s="11">
        <f ca="1">SUM(IFERROR(Calculations!Z$20*Calculations!Q30/SUM(Calculations!Q$28:Q$32),0)*$L$3)</f>
        <v>1.5511801222363804</v>
      </c>
      <c r="I19" s="11">
        <f ca="1">SUM(IFERROR(Calculations!AA$20*Calculations!R30/SUM(Calculations!R$28:R$32),0)*$L$3)</f>
        <v>1.0855778001112031</v>
      </c>
      <c r="J19" s="11">
        <f t="shared" ca="1" si="0"/>
        <v>8.9405425368962419</v>
      </c>
    </row>
    <row r="20" spans="1:10">
      <c r="A20" t="s">
        <v>146</v>
      </c>
      <c r="B20" s="1" t="s">
        <v>302</v>
      </c>
      <c r="C20" s="11">
        <f ca="1">SUM(IFERROR(Calculations!U$20*Calculations!L31/SUM(Calculations!L$28:L$32),0)*$L$3)</f>
        <v>1.2685018379644066</v>
      </c>
      <c r="D20" s="11">
        <f ca="1">SUM(IFERROR(Calculations!V$20*Calculations!M31/SUM(Calculations!M$28:M$32),0)*$L$3)</f>
        <v>1.7565862619918551</v>
      </c>
      <c r="E20" s="11">
        <f ca="1">SUM(IFERROR(Calculations!W$20*Calculations!N31/SUM(Calculations!N$28:N$32),0)*$L$3)</f>
        <v>1.9885765419093406</v>
      </c>
      <c r="F20" s="11">
        <f ca="1">SUM(IFERROR(Calculations!X$20*Calculations!O31/SUM(Calculations!O$28:O$32),0)*$L$3)</f>
        <v>2.668713282377539</v>
      </c>
      <c r="G20" s="11">
        <f ca="1">SUM(IFERROR(Calculations!Y$20*Calculations!P31/SUM(Calculations!P$28:P$32),0)*$L$3)</f>
        <v>3.0888968836919544</v>
      </c>
      <c r="H20" s="11">
        <f ca="1">SUM(IFERROR(Calculations!Z$20*Calculations!Q31/SUM(Calculations!Q$28:Q$32),0)*$L$3)</f>
        <v>2.4219462155250961</v>
      </c>
      <c r="I20" s="11">
        <f ca="1">SUM(IFERROR(Calculations!AA$20*Calculations!R31/SUM(Calculations!R$28:R$32),0)*$L$3)</f>
        <v>1.4353406442994503</v>
      </c>
      <c r="J20" s="11">
        <f t="shared" ca="1" si="0"/>
        <v>14.628561667759644</v>
      </c>
    </row>
    <row r="21" spans="1:10">
      <c r="A21" t="s">
        <v>146</v>
      </c>
      <c r="B21" s="1" t="s">
        <v>304</v>
      </c>
      <c r="C21" s="11">
        <f ca="1">SUM(IFERROR(Calculations!U$20*Calculations!L32/SUM(Calculations!L$28:L$32),0)*$L$3)</f>
        <v>0.31121038536533951</v>
      </c>
      <c r="D21" s="11">
        <f ca="1">SUM(IFERROR(Calculations!V$20*Calculations!M32/SUM(Calculations!M$28:M$32),0)*$L$3)</f>
        <v>0.77901203981637146</v>
      </c>
      <c r="E21" s="11">
        <f ca="1">SUM(IFERROR(Calculations!W$20*Calculations!N32/SUM(Calculations!N$28:N$32),0)*$L$3)</f>
        <v>0.60197708020959872</v>
      </c>
      <c r="F21" s="11">
        <f ca="1">SUM(IFERROR(Calculations!X$20*Calculations!O32/SUM(Calculations!O$28:O$32),0)*$L$3)</f>
        <v>0.9623473263686495</v>
      </c>
      <c r="G21" s="11">
        <f ca="1">SUM(IFERROR(Calculations!Y$20*Calculations!P32/SUM(Calculations!P$28:P$32),0)*$L$3)</f>
        <v>0.8207183033339267</v>
      </c>
      <c r="H21" s="11">
        <f ca="1">SUM(IFERROR(Calculations!Z$20*Calculations!Q32/SUM(Calculations!Q$28:Q$32),0)*$L$3)</f>
        <v>0.66345937752981887</v>
      </c>
      <c r="I21" s="11">
        <f ca="1">SUM(IFERROR(Calculations!AA$20*Calculations!R32/SUM(Calculations!R$28:R$32),0)*$L$3)</f>
        <v>0.33364009712108511</v>
      </c>
      <c r="J21" s="11">
        <f t="shared" ca="1" si="0"/>
        <v>4.4723646097447904</v>
      </c>
    </row>
    <row r="22" spans="1:10">
      <c r="A22" t="s">
        <v>160</v>
      </c>
      <c r="B22" s="1" t="s">
        <v>297</v>
      </c>
      <c r="C22" s="11">
        <f ca="1">SUM((IFERROR(Calculations!U$21*Calculations!L28/SUM(Calculations!L$28:L$32),0)/1400)*$L$3)</f>
        <v>0.69002854771119759</v>
      </c>
      <c r="D22" s="11">
        <f ca="1">SUM((IFERROR(Calculations!V$21*Calculations!M28/SUM(Calculations!M$28:M$32),0)/1400)*$L$3)</f>
        <v>0.38604138820066808</v>
      </c>
      <c r="E22" s="11">
        <f ca="1">SUM((IFERROR(Calculations!W$21*Calculations!N28/SUM(Calculations!N$28:N$32),0)/1400)*$L$3)</f>
        <v>0.36664300640715536</v>
      </c>
      <c r="F22" s="11">
        <f ca="1">SUM((IFERROR(Calculations!X$21*Calculations!O28/SUM(Calculations!O$28:O$32),0)/1400)*$L$3)</f>
        <v>0.39964432814946926</v>
      </c>
      <c r="G22" s="11">
        <f ca="1">SUM((IFERROR(Calculations!Y$21*Calculations!P28/SUM(Calculations!P$28:P$32),0)/1400)*$L$3)</f>
        <v>0.3111841100419363</v>
      </c>
      <c r="H22" s="11">
        <f ca="1">SUM((IFERROR(Calculations!Z$21*Calculations!Q28/SUM(Calculations!Q$28:Q$32),0)/1400)*$L$3)</f>
        <v>0.30727522511008476</v>
      </c>
      <c r="I22" s="11">
        <f ca="1">SUM((IFERROR(Calculations!AA$21*Calculations!R28/SUM(Calculations!R$28:R$32),0)/1400)*$L$3)</f>
        <v>0.34806473379458186</v>
      </c>
      <c r="J22" s="11">
        <f t="shared" ca="1" si="0"/>
        <v>2.8088813394150933</v>
      </c>
    </row>
    <row r="23" spans="1:10">
      <c r="A23" t="s">
        <v>160</v>
      </c>
      <c r="B23" s="1" t="s">
        <v>299</v>
      </c>
      <c r="C23" s="11">
        <f ca="1">SUM((IFERROR(Calculations!U$21*Calculations!L29/SUM(Calculations!L$28:L$32),0)/1400)*$L$3)</f>
        <v>1.12437873233783</v>
      </c>
      <c r="D23" s="11">
        <f ca="1">SUM((IFERROR(Calculations!V$21*Calculations!M29/SUM(Calculations!M$28:M$32),0)/1400)*$L$3)</f>
        <v>1.0972528436793356</v>
      </c>
      <c r="E23" s="11">
        <f ca="1">SUM((IFERROR(Calculations!W$21*Calculations!N29/SUM(Calculations!N$28:N$32),0)/1400)*$L$3)</f>
        <v>1.0264078744229441</v>
      </c>
      <c r="F23" s="11">
        <f ca="1">SUM((IFERROR(Calculations!X$21*Calculations!O29/SUM(Calculations!O$28:O$32),0)/1400)*$L$3)</f>
        <v>1.3197969290597082</v>
      </c>
      <c r="G23" s="11">
        <f ca="1">SUM((IFERROR(Calculations!Y$21*Calculations!P29/SUM(Calculations!P$28:P$32),0)/1400)*$L$3)</f>
        <v>1.2194344378364579</v>
      </c>
      <c r="H23" s="11">
        <f ca="1">SUM((IFERROR(Calculations!Z$21*Calculations!Q29/SUM(Calculations!Q$28:Q$32),0)/1400)*$L$3)</f>
        <v>1.1114857702810153</v>
      </c>
      <c r="I23" s="11">
        <f ca="1">SUM((IFERROR(Calculations!AA$21*Calculations!R29/SUM(Calculations!R$28:R$32),0)/1400)*$L$3)</f>
        <v>1.1361520030772043</v>
      </c>
      <c r="J23" s="11">
        <f t="shared" ca="1" si="0"/>
        <v>8.0349085906944957</v>
      </c>
    </row>
    <row r="24" spans="1:10">
      <c r="A24" t="s">
        <v>160</v>
      </c>
      <c r="B24" s="1" t="s">
        <v>301</v>
      </c>
      <c r="C24" s="11">
        <f ca="1">SUM((IFERROR(Calculations!U$21*Calculations!L30/SUM(Calculations!L$28:L$32),0)/1400)*$L$3)</f>
        <v>0.92037968774142409</v>
      </c>
      <c r="D24" s="11">
        <f ca="1">SUM((IFERROR(Calculations!V$21*Calculations!M30/SUM(Calculations!M$28:M$32),0)/1400)*$L$3)</f>
        <v>0.88439066035418712</v>
      </c>
      <c r="E24" s="11">
        <f ca="1">SUM((IFERROR(Calculations!W$21*Calculations!N30/SUM(Calculations!N$28:N$32),0)/1400)*$L$3)</f>
        <v>0.89202451514667214</v>
      </c>
      <c r="F24" s="11">
        <f ca="1">SUM((IFERROR(Calculations!X$21*Calculations!O30/SUM(Calculations!O$28:O$32),0)/1400)*$L$3)</f>
        <v>1.2625133422324832</v>
      </c>
      <c r="G24" s="11">
        <f ca="1">SUM((IFERROR(Calculations!Y$21*Calculations!P30/SUM(Calculations!P$28:P$32),0)/1400)*$L$3)</f>
        <v>1.2389378999172087</v>
      </c>
      <c r="H24" s="11">
        <f ca="1">SUM((IFERROR(Calculations!Z$21*Calculations!Q30/SUM(Calculations!Q$28:Q$32),0)/1400)*$L$3)</f>
        <v>1.0709398509441679</v>
      </c>
      <c r="I24" s="11">
        <f ca="1">SUM((IFERROR(Calculations!AA$21*Calculations!R30/SUM(Calculations!R$28:R$32),0)/1400)*$L$3)</f>
        <v>0.93074315132844432</v>
      </c>
      <c r="J24" s="11">
        <f t="shared" ca="1" si="0"/>
        <v>7.1999291076645875</v>
      </c>
    </row>
    <row r="25" spans="1:10">
      <c r="A25" t="s">
        <v>160</v>
      </c>
      <c r="B25" s="1" t="s">
        <v>302</v>
      </c>
      <c r="C25" s="11">
        <f ca="1">SUM((IFERROR(Calculations!U$21*Calculations!L31/SUM(Calculations!L$28:L$32),0)/1400)*$L$3)</f>
        <v>1.078333636880588</v>
      </c>
      <c r="D25" s="11">
        <f ca="1">SUM((IFERROR(Calculations!V$21*Calculations!M31/SUM(Calculations!M$28:M$32),0)/1400)*$L$3)</f>
        <v>1.3755646311978862</v>
      </c>
      <c r="E25" s="11">
        <f ca="1">SUM((IFERROR(Calculations!W$21*Calculations!N31/SUM(Calculations!N$28:N$32),0)/1400)*$L$3)</f>
        <v>1.5246999463248498</v>
      </c>
      <c r="F25" s="11">
        <f ca="1">SUM((IFERROR(Calculations!X$21*Calculations!O31/SUM(Calculations!O$28:O$32),0)/1400)*$L$3)</f>
        <v>2.151389566667897</v>
      </c>
      <c r="G25" s="11">
        <f ca="1">SUM((IFERROR(Calculations!Y$21*Calculations!P31/SUM(Calculations!P$28:P$32),0)/1400)*$L$3)</f>
        <v>2.8093508475624409</v>
      </c>
      <c r="H25" s="11">
        <f ca="1">SUM((IFERROR(Calculations!Z$21*Calculations!Q31/SUM(Calculations!Q$28:Q$32),0)/1400)*$L$3)</f>
        <v>1.6721196216141185</v>
      </c>
      <c r="I25" s="11">
        <f ca="1">SUM((IFERROR(Calculations!AA$21*Calculations!R31/SUM(Calculations!R$28:R$32),0)/1400)*$L$3)</f>
        <v>1.2306197440369737</v>
      </c>
      <c r="J25" s="11">
        <f t="shared" ca="1" si="0"/>
        <v>11.842077994284756</v>
      </c>
    </row>
    <row r="26" spans="1:10">
      <c r="A26" t="s">
        <v>160</v>
      </c>
      <c r="B26" s="1" t="s">
        <v>304</v>
      </c>
      <c r="C26" s="11">
        <f ca="1">SUM((IFERROR(Calculations!U$21*Calculations!L32/SUM(Calculations!L$28:L$32),0)/1400)*$L$3)</f>
        <v>0.26455509692011364</v>
      </c>
      <c r="D26" s="11">
        <f ca="1">SUM((IFERROR(Calculations!V$21*Calculations!M32/SUM(Calculations!M$28:M$32),0)/1400)*$L$3)</f>
        <v>0.61003631443275452</v>
      </c>
      <c r="E26" s="11">
        <f ca="1">SUM((IFERROR(Calculations!W$21*Calculations!N32/SUM(Calculations!N$28:N$32),0)/1400)*$L$3)</f>
        <v>0.46155347935619423</v>
      </c>
      <c r="F26" s="11">
        <f ca="1">SUM((IFERROR(Calculations!X$21*Calculations!O32/SUM(Calculations!O$28:O$32),0)/1400)*$L$3)</f>
        <v>0.77579858845524474</v>
      </c>
      <c r="G26" s="11">
        <f ca="1">SUM((IFERROR(Calculations!Y$21*Calculations!P32/SUM(Calculations!P$28:P$32),0)/1400)*$L$3)</f>
        <v>0.74644306621376799</v>
      </c>
      <c r="H26" s="11">
        <f ca="1">SUM((IFERROR(Calculations!Z$21*Calculations!Q32/SUM(Calculations!Q$28:Q$32),0)/1400)*$L$3)</f>
        <v>0.45805453325105178</v>
      </c>
      <c r="I26" s="11">
        <f ca="1">SUM((IFERROR(Calculations!AA$21*Calculations!R32/SUM(Calculations!R$28:R$32),0)/1400)*$L$3)</f>
        <v>0.28605341355745939</v>
      </c>
      <c r="J26" s="11">
        <f t="shared" ca="1" si="0"/>
        <v>3.6024944921865862</v>
      </c>
    </row>
    <row r="34" spans="3:3">
      <c r="C34" s="13"/>
    </row>
  </sheetData>
  <mergeCells count="3">
    <mergeCell ref="L3:M3"/>
    <mergeCell ref="L2:M2"/>
    <mergeCell ref="L5:M5"/>
  </mergeCells>
  <pageMargins left="0.7" right="0.7" top="0.75" bottom="0.75" header="0.3" footer="0.3"/>
  <pageSetup orientation="portrait" r:id="rId1"/>
  <headerFooter>
    <oddFooter>&amp;L_x000D_&amp;1#&amp;"Aptos"&amp;10&amp;K000000 Collins Foods - Sensitive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C36F-C592-4367-99BB-9F428B4E9D89}">
  <dimension ref="A1:W95"/>
  <sheetViews>
    <sheetView workbookViewId="0">
      <selection activeCell="B16" sqref="B16:B22"/>
    </sheetView>
  </sheetViews>
  <sheetFormatPr defaultRowHeight="15"/>
  <cols>
    <col min="1" max="1" width="3" bestFit="1" customWidth="1"/>
    <col min="2" max="2" width="26.28515625" bestFit="1" customWidth="1"/>
    <col min="3" max="4" width="12.140625" hidden="1" customWidth="1"/>
    <col min="5" max="5" width="13.42578125" hidden="1" customWidth="1"/>
    <col min="6" max="9" width="12.140625" hidden="1" customWidth="1"/>
    <col min="10" max="10" width="6.42578125" bestFit="1" customWidth="1"/>
    <col min="11" max="11" width="9.140625" hidden="1" customWidth="1"/>
    <col min="12" max="13" width="12.5703125" style="25" bestFit="1" customWidth="1"/>
    <col min="14" max="14" width="13.42578125" style="25" bestFit="1" customWidth="1"/>
    <col min="15" max="18" width="12.5703125" style="25" bestFit="1" customWidth="1"/>
    <col min="20" max="20" width="17.85546875" style="1" bestFit="1" customWidth="1"/>
  </cols>
  <sheetData>
    <row r="1" spans="1:23">
      <c r="B1" s="129"/>
      <c r="C1" s="129"/>
      <c r="D1" s="129"/>
      <c r="E1" s="129"/>
      <c r="F1" s="129"/>
      <c r="G1" s="129"/>
      <c r="H1" s="129"/>
      <c r="I1" s="129"/>
      <c r="J1" s="129"/>
      <c r="L1" s="140"/>
      <c r="M1" s="140"/>
      <c r="N1" s="140"/>
      <c r="O1" s="140"/>
      <c r="P1" s="140"/>
      <c r="Q1" s="140"/>
      <c r="R1" s="140"/>
    </row>
    <row r="2" spans="1:23" ht="15.75">
      <c r="B2" s="21" t="s">
        <v>305</v>
      </c>
      <c r="C2" s="28" t="s">
        <v>306</v>
      </c>
      <c r="D2" s="28" t="s">
        <v>307</v>
      </c>
      <c r="E2" s="28" t="s">
        <v>308</v>
      </c>
      <c r="F2" s="28" t="s">
        <v>309</v>
      </c>
      <c r="G2" s="28" t="s">
        <v>310</v>
      </c>
      <c r="H2" s="28" t="s">
        <v>311</v>
      </c>
      <c r="I2" s="28" t="s">
        <v>312</v>
      </c>
      <c r="J2" s="22" t="s">
        <v>313</v>
      </c>
      <c r="L2" s="28" t="s">
        <v>306</v>
      </c>
      <c r="M2" s="28" t="s">
        <v>307</v>
      </c>
      <c r="N2" s="28" t="s">
        <v>308</v>
      </c>
      <c r="O2" s="28" t="s">
        <v>309</v>
      </c>
      <c r="P2" s="28" t="s">
        <v>310</v>
      </c>
      <c r="Q2" s="28" t="s">
        <v>311</v>
      </c>
      <c r="R2" s="28" t="s">
        <v>312</v>
      </c>
      <c r="T2" s="31" t="s">
        <v>314</v>
      </c>
      <c r="V2" s="137" t="s">
        <v>298</v>
      </c>
      <c r="W2" s="137"/>
    </row>
    <row r="3" spans="1:23">
      <c r="A3" s="138" t="s">
        <v>315</v>
      </c>
      <c r="B3" s="23" t="s">
        <v>163</v>
      </c>
      <c r="C3" s="27" cm="1">
        <f t="array" aca="1" ref="C3" ca="1">_xlfn.LET(
    _xlpm.vals, _xlfn.XLOOKUP(B3, 'ISE Average'!B:B, 'ISE Average'!C:F),
    AVERAGE(_xlpm.vals) / 36 / 3 * $V$3
)</f>
        <v>0.64251115298894201</v>
      </c>
      <c r="D3" s="27" cm="1">
        <f t="array" aca="1" ref="D3" ca="1">_xlfn.LET(
    _xlpm.vals, _xlfn.XLOOKUP(B3, 'ISE Average'!B:B, 'ISE Average'!J:M),
    AVERAGE(_xlpm.vals) / 36 / 3 * $V$3
)</f>
        <v>0.80313894123617735</v>
      </c>
      <c r="E3" s="27" cm="1">
        <f t="array" aca="1" ref="E3" ca="1">_xlfn.LET(
    _xlpm.vals, _xlfn.XLOOKUP(B3, 'ISE Average'!B:B, 'ISE Average'!Q:U),
    AVERAGE(_xlpm.vals) / 36 / 3 * $V$3
)</f>
        <v>0.78006283644572949</v>
      </c>
      <c r="F3" s="27" cm="1">
        <f t="array" aca="1" ref="F3" ca="1">_xlfn.LET(
    _xlpm.vals, _xlfn.XLOOKUP(B3, 'ISE Average'!B:B, 'ISE Average'!X:AB),
    AVERAGE(_xlpm.vals) / 36 / 3 * $V$3
)</f>
        <v>1.1257519356594983</v>
      </c>
      <c r="G3" s="27" cm="1">
        <f t="array" aca="1" ref="G3" ca="1">_xlfn.LET(
    _xlpm.vals, _xlfn.XLOOKUP(B3, 'ISE Average'!B:B, 'ISE Average'!AE:AI),
    AVERAGE(_xlpm.vals) / 36 / 3 * $V$3
)</f>
        <v>1.0605958750747042</v>
      </c>
      <c r="H3" s="27" cm="1">
        <f t="array" aca="1" ref="H3" ca="1">_xlfn.LET(
    _xlpm.vals, _xlfn.XLOOKUP(B3, 'ISE Average'!B:B, 'ISE Average'!AL:AP),
    AVERAGE(_xlpm.vals) / 36 / 3 * $V$3
)</f>
        <v>1.0931739053671012</v>
      </c>
      <c r="I3" s="27" cm="1">
        <f t="array" aca="1" ref="I3" ca="1">_xlfn.LET(
    _xlpm.vals, _xlfn.XLOOKUP(B3, 'ISE Average'!B:B, 'ISE Average'!AS:AW),
    AVERAGE(_xlpm.vals) / 36 / 3 * $V$3
)</f>
        <v>0.70404743243013634</v>
      </c>
      <c r="J3" s="24" t="s">
        <v>316</v>
      </c>
      <c r="L3" s="29">
        <f ca="1">C3+D3</f>
        <v>1.4456500942251194</v>
      </c>
      <c r="M3" s="29">
        <f ca="1">D3+E3</f>
        <v>1.5832017776819067</v>
      </c>
      <c r="N3" s="29">
        <f t="shared" ref="N3:Q3" ca="1" si="0">E3+F3</f>
        <v>1.9058147721052277</v>
      </c>
      <c r="O3" s="29">
        <f t="shared" ca="1" si="0"/>
        <v>2.1863478107342025</v>
      </c>
      <c r="P3" s="29">
        <f t="shared" ca="1" si="0"/>
        <v>2.1537697804418054</v>
      </c>
      <c r="Q3" s="29">
        <f t="shared" ca="1" si="0"/>
        <v>1.7972213377972377</v>
      </c>
      <c r="R3" s="29">
        <f ca="1">I3+C3</f>
        <v>1.3465585854190785</v>
      </c>
      <c r="T3" s="32" t="s">
        <v>317</v>
      </c>
      <c r="V3" s="141">
        <f ca="1">'Product Block Sales'!L3</f>
        <v>0.97734090877191171</v>
      </c>
      <c r="W3" s="141"/>
    </row>
    <row r="4" spans="1:23">
      <c r="A4" s="138"/>
      <c r="B4" s="23" t="s">
        <v>161</v>
      </c>
      <c r="C4" s="27" cm="1">
        <f t="array" aca="1" ref="C4" ca="1">_xlfn.LET(
    _xlpm.vals, _xlfn.XLOOKUP(B4, 'ISE Average'!B:B, 'ISE Average'!C:F),
    AVERAGE(_xlpm.vals) / 36 / 3 * $V$3
)</f>
        <v>1.5429317124593604</v>
      </c>
      <c r="D4" s="27" cm="1">
        <f t="array" aca="1" ref="D4" ca="1">_xlfn.LET(
    _xlpm.vals, _xlfn.XLOOKUP(B4, 'ISE Average'!B:B, 'ISE Average'!J:M),
    AVERAGE(_xlpm.vals) / 36 / 3 * $V$3
)</f>
        <v>1.6945100478475972</v>
      </c>
      <c r="E4" s="27" cm="1">
        <f t="array" aca="1" ref="E4" ca="1">_xlfn.LET(
    _xlpm.vals, _xlfn.XLOOKUP(B4, 'ISE Average'!B:B, 'ISE Average'!Q:U),
    AVERAGE(_xlpm.vals) / 36 / 3 * $V$3
)</f>
        <v>1.6108026089018546</v>
      </c>
      <c r="F4" s="27" cm="1">
        <f t="array" aca="1" ref="F4" ca="1">_xlfn.LET(
    _xlpm.vals, _xlfn.XLOOKUP(B4, 'ISE Average'!B:B, 'ISE Average'!X:AB),
    AVERAGE(_xlpm.vals) / 36 / 3 * $V$3
)</f>
        <v>2.2008269353086014</v>
      </c>
      <c r="G4" s="27" cm="1">
        <f t="array" aca="1" ref="G4" ca="1">_xlfn.LET(
    _xlpm.vals, _xlfn.XLOOKUP(B4, 'ISE Average'!B:B, 'ISE Average'!AE:AI),
    AVERAGE(_xlpm.vals) / 36 / 3 * $V$3
)</f>
        <v>2.1465302181546062</v>
      </c>
      <c r="H4" s="27" cm="1">
        <f t="array" aca="1" ref="H4" ca="1">_xlfn.LET(
    _xlpm.vals, _xlfn.XLOOKUP(B4, 'ISE Average'!B:B, 'ISE Average'!AL:AP),
    AVERAGE(_xlpm.vals) / 36 / 3 * $V$3
)</f>
        <v>1.902194990961628</v>
      </c>
      <c r="I4" s="27" cm="1">
        <f t="array" aca="1" ref="I4" ca="1">_xlfn.LET(
    _xlpm.vals, _xlfn.XLOOKUP(B4, 'ISE Average'!B:B, 'ISE Average'!AS:AW),
    AVERAGE(_xlpm.vals) / 36 / 3 * $V$3
)</f>
        <v>1.3700871628524762</v>
      </c>
      <c r="J4" s="24" t="s">
        <v>316</v>
      </c>
      <c r="L4" s="29">
        <f ca="1">C4+D4</f>
        <v>3.2374417603069574</v>
      </c>
      <c r="M4" s="29">
        <f ca="1">D4+E4</f>
        <v>3.305312656749452</v>
      </c>
      <c r="N4" s="29">
        <f t="shared" ref="N4" ca="1" si="1">E4+F4</f>
        <v>3.8116295442104562</v>
      </c>
      <c r="O4" s="29">
        <f t="shared" ref="O4" ca="1" si="2">F4+G4</f>
        <v>4.3473571534632072</v>
      </c>
      <c r="P4" s="29">
        <f t="shared" ref="P4" ca="1" si="3">G4+H4</f>
        <v>4.0487252091162347</v>
      </c>
      <c r="Q4" s="29">
        <f t="shared" ref="Q4" ca="1" si="4">H4+I4</f>
        <v>3.2722821538141043</v>
      </c>
      <c r="R4" s="29">
        <f ca="1">I4+C4</f>
        <v>2.9130188753118365</v>
      </c>
      <c r="T4" s="32" t="s">
        <v>317</v>
      </c>
    </row>
    <row r="5" spans="1:23">
      <c r="A5" s="138"/>
      <c r="B5" s="23" t="s">
        <v>59</v>
      </c>
      <c r="C5" s="27" cm="1">
        <f t="array" aca="1" ref="C5" ca="1">_xlfn.LET(
    _xlpm.vals, _xlfn.XLOOKUP(B5, 'ISE Average'!B:B, 'ISE Average'!C:F),
    AVERAGE(_xlpm.vals) * 10 * $V$3
)</f>
        <v>0.14660113631578678</v>
      </c>
      <c r="D5" s="27" cm="1">
        <f t="array" aca="1" ref="D5" ca="1">_xlfn.LET(
    _xlpm.vals, _xlfn.XLOOKUP(B5, 'ISE Average'!B:B, 'ISE Average'!J:M),
    AVERAGE(_xlpm.vals) * 10 * $V$3
)</f>
        <v>0.14660113631578675</v>
      </c>
      <c r="E5" s="27" cm="1">
        <f t="array" aca="1" ref="E5" ca="1">_xlfn.LET(
    _xlpm.vals, _xlfn.XLOOKUP(B5, 'ISE Average'!B:B, 'ISE Average'!Q:U),
    AVERAGE(_xlpm.vals) * 10 * $V$3
)</f>
        <v>0.15637454540350587</v>
      </c>
      <c r="F5" s="27" cm="1">
        <f t="array" aca="1" ref="F5" ca="1">_xlfn.LET(
    _xlpm.vals, _xlfn.XLOOKUP(B5, 'ISE Average'!B:B, 'ISE Average'!X:AB),
    AVERAGE(_xlpm.vals)* 10 * $V$3
)</f>
        <v>0.25410863628069708</v>
      </c>
      <c r="G5" s="27" cm="1">
        <f t="array" aca="1" ref="G5" ca="1">_xlfn.LET(
    _xlpm.vals, _xlfn.XLOOKUP(B5, 'ISE Average'!B:B, 'ISE Average'!AE:AI),
    AVERAGE(_xlpm.vals) * 10 * $V$3
)</f>
        <v>0.23456181810525881</v>
      </c>
      <c r="H5" s="27" cm="1">
        <f t="array" aca="1" ref="H5" ca="1">_xlfn.LET(
    _xlpm.vals, _xlfn.XLOOKUP(B5, 'ISE Average'!B:B, 'ISE Average'!AL:AP),
    AVERAGE(_xlpm.vals) * 10 * $V$3
)</f>
        <v>0.17592136357894411</v>
      </c>
      <c r="I5" s="27" cm="1">
        <f t="array" aca="1" ref="I5" ca="1">_xlfn.LET(
    _xlpm.vals, _xlfn.XLOOKUP(B5, 'ISE Average'!B:B, 'ISE Average'!AS:AW),
    AVERAGE(_xlpm.vals) * 10 * $V$3
)</f>
        <v>9.7734090877191176E-2</v>
      </c>
      <c r="J5" s="24" t="s">
        <v>318</v>
      </c>
      <c r="L5" s="29">
        <f t="shared" ref="L5:L6" ca="1" si="5">C5+D5</f>
        <v>0.2932022726315735</v>
      </c>
      <c r="M5" s="29">
        <f t="shared" ref="M5:M6" ca="1" si="6">D5+E5</f>
        <v>0.30297568171929262</v>
      </c>
      <c r="N5" s="29">
        <f t="shared" ref="N5:N6" ca="1" si="7">E5+F5</f>
        <v>0.41048318168420295</v>
      </c>
      <c r="O5" s="29">
        <f t="shared" ref="O5:O6" ca="1" si="8">F5+G5</f>
        <v>0.48867045438595591</v>
      </c>
      <c r="P5" s="29">
        <f t="shared" ref="P5:P6" ca="1" si="9">G5+H5</f>
        <v>0.41048318168420295</v>
      </c>
      <c r="Q5" s="29">
        <f t="shared" ref="Q5:Q6" ca="1" si="10">H5+I5</f>
        <v>0.27365545445613526</v>
      </c>
      <c r="R5" s="29">
        <f t="shared" ref="R5:R6" ca="1" si="11">I5+C5</f>
        <v>0.24433522719297796</v>
      </c>
      <c r="T5" s="32" t="s">
        <v>317</v>
      </c>
    </row>
    <row r="6" spans="1:23">
      <c r="A6" s="138"/>
      <c r="B6" s="23" t="s">
        <v>55</v>
      </c>
      <c r="C6" s="27" cm="1">
        <f t="array" aca="1" ref="C6" ca="1">_xlfn.LET(
    _xlpm.vals, _xlfn.XLOOKUP(B6, 'ISE Average'!B:B, 'ISE Average'!C:F),
    AVERAGE(_xlpm.vals) * 1.5 * $V$3
)</f>
        <v>0.974897556499982</v>
      </c>
      <c r="D6" s="27" cm="1">
        <f t="array" aca="1" ref="D6" ca="1">_xlfn.LET(
    _xlpm.vals, _xlfn.XLOOKUP(B6, 'ISE Average'!B:B, 'ISE Average'!J:M),
    AVERAGE(_xlpm.vals) * 1.5 * $V$3
)</f>
        <v>1.2680998291315555</v>
      </c>
      <c r="E6" s="27" cm="1">
        <f t="array" aca="1" ref="E6" ca="1">_xlfn.LET(
    _xlpm.vals, _xlfn.XLOOKUP(B6, 'ISE Average'!B:B, 'ISE Average'!Q:U),
    AVERAGE(_xlpm.vals) * 1.5 * $V$3
)</f>
        <v>1.2842259541262921</v>
      </c>
      <c r="F6" s="27" cm="1">
        <f t="array" aca="1" ref="F6" ca="1">_xlfn.LET(
    _xlpm.vals, _xlfn.XLOOKUP(B6, 'ISE Average'!B:B, 'ISE Average'!X:AB),
    AVERAGE(_xlpm.vals)* 1.5 * $V$3
)</f>
        <v>1.4689433858841834</v>
      </c>
      <c r="G6" s="27" cm="1">
        <f t="array" aca="1" ref="G6" ca="1">_xlfn.LET(
    _xlpm.vals, _xlfn.XLOOKUP(B6, 'ISE Average'!B:B, 'ISE Average'!AE:AI),
    AVERAGE(_xlpm.vals) * 1.5 * $V$3
)</f>
        <v>1.5041276585999723</v>
      </c>
      <c r="H6" s="27" cm="1">
        <f t="array" aca="1" ref="H6" ca="1">_xlfn.LET(
    _xlpm.vals, _xlfn.XLOOKUP(B6, 'ISE Average'!B:B, 'ISE Average'!AL:AP),
    AVERAGE(_xlpm.vals) * 1.5 * $V$3
)</f>
        <v>1.2637017950420819</v>
      </c>
      <c r="I6" s="27" cm="1">
        <f t="array" aca="1" ref="I6" ca="1">_xlfn.LET(
    _xlpm.vals, _xlfn.XLOOKUP(B6, 'ISE Average'!B:B, 'ISE Average'!AS:AW),
    AVERAGE(_xlpm.vals) * 1.5 * $V$3
)</f>
        <v>0.86787872698945745</v>
      </c>
      <c r="J6" s="24" t="s">
        <v>319</v>
      </c>
      <c r="L6" s="30">
        <f t="shared" ca="1" si="5"/>
        <v>2.2429973856315373</v>
      </c>
      <c r="M6" s="30">
        <f t="shared" ca="1" si="6"/>
        <v>2.5523257832578476</v>
      </c>
      <c r="N6" s="30">
        <f t="shared" ca="1" si="7"/>
        <v>2.7531693400104755</v>
      </c>
      <c r="O6" s="30">
        <f t="shared" ca="1" si="8"/>
        <v>2.9730710444841559</v>
      </c>
      <c r="P6" s="30">
        <f t="shared" ca="1" si="9"/>
        <v>2.7678294536420545</v>
      </c>
      <c r="Q6" s="30">
        <f t="shared" ca="1" si="10"/>
        <v>2.1315805220315394</v>
      </c>
      <c r="R6" s="30">
        <f t="shared" ca="1" si="11"/>
        <v>1.8427762834894394</v>
      </c>
      <c r="T6" s="32" t="s">
        <v>317</v>
      </c>
    </row>
    <row r="7" spans="1:23" ht="15" customHeight="1">
      <c r="A7" s="138" t="s">
        <v>320</v>
      </c>
      <c r="B7" s="20" t="s">
        <v>61</v>
      </c>
      <c r="C7" s="27" cm="1">
        <f t="array" aca="1" ref="C7" ca="1">_xlfn.LET(
    _xlpm.vals, _xlfn.XLOOKUP(B7, 'ISE Average'!B:B, 'ISE Average'!C:F),
    AVERAGE(_xlpm.vals) * 10 * 1.25 * $V$3
)</f>
        <v>9.651241474122628</v>
      </c>
      <c r="D7" s="27" cm="1">
        <f t="array" aca="1" ref="D7" ca="1">_xlfn.LET(
    _xlpm.vals, _xlfn.XLOOKUP(B7, 'ISE Average'!B:B, 'ISE Average'!J:M),
    AVERAGE(_xlpm.vals) * 10 * 1.25 * $V$3
)</f>
        <v>11.208878547477862</v>
      </c>
      <c r="E7" s="27" cm="1">
        <f t="array" aca="1" ref="E7" ca="1">_xlfn.LET(
    _xlpm.vals, _xlfn.XLOOKUP(B7, 'ISE Average'!B:B, 'ISE Average'!Q:U),
    AVERAGE(_xlpm.vals) * 10 * 1.25 * $V$3
)</f>
        <v>11.312721019034877</v>
      </c>
      <c r="F7" s="27" cm="1">
        <f t="array" aca="1" ref="F7" ca="1">_xlfn.LET(
    _xlpm.vals, _xlfn.XLOOKUP(B7, 'ISE Average'!B:B, 'ISE Average'!X:AB),
    AVERAGE(_xlpm.vals) * 10 * 1.25 * $V$3
)</f>
        <v>14.48907897254359</v>
      </c>
      <c r="G7" s="27" cm="1">
        <f t="array" aca="1" ref="G7" ca="1">_xlfn.LET(
    _xlpm.vals, _xlfn.XLOOKUP(B7, 'ISE Average'!B:B, 'ISE Average'!AE:AI),
    AVERAGE(_xlpm.vals) * 10 * 1.25 * $V$3
)</f>
        <v>14.195876699912017</v>
      </c>
      <c r="H7" s="27" cm="1">
        <f t="array" aca="1" ref="H7" ca="1">_xlfn.LET(
    _xlpm.vals, _xlfn.XLOOKUP(B7, 'ISE Average'!B:B, 'ISE Average'!AL:AP),
    AVERAGE(_xlpm.vals) * 10 * 1.25 * $V$3
)</f>
        <v>13.267402836578702</v>
      </c>
      <c r="I7" s="27" cm="1">
        <f t="array" aca="1" ref="I7" ca="1">_xlfn.LET(
    _xlpm.vals, _xlfn.XLOOKUP(B7, 'ISE Average'!B:B, 'ISE Average'!AS:AW),
    AVERAGE(_xlpm.vals) * 10 * 1.25 * $V$3
)</f>
        <v>8.7716346562279064</v>
      </c>
      <c r="J7" s="24" t="s">
        <v>321</v>
      </c>
      <c r="L7" s="29">
        <f ca="1">ROUNDUP(C7,0)</f>
        <v>10</v>
      </c>
      <c r="M7" s="29">
        <f t="shared" ref="M7:R15" ca="1" si="12">ROUNDUP(D7,0)</f>
        <v>12</v>
      </c>
      <c r="N7" s="29">
        <f t="shared" ca="1" si="12"/>
        <v>12</v>
      </c>
      <c r="O7" s="29">
        <f t="shared" ca="1" si="12"/>
        <v>15</v>
      </c>
      <c r="P7" s="29">
        <f t="shared" ca="1" si="12"/>
        <v>15</v>
      </c>
      <c r="Q7" s="29">
        <f t="shared" ca="1" si="12"/>
        <v>14</v>
      </c>
      <c r="R7" s="29">
        <f t="shared" ca="1" si="12"/>
        <v>9</v>
      </c>
      <c r="T7" s="32" t="s">
        <v>322</v>
      </c>
    </row>
    <row r="8" spans="1:23">
      <c r="A8" s="138"/>
      <c r="B8" s="20" t="s">
        <v>150</v>
      </c>
      <c r="C8" s="27" cm="1">
        <f t="array" aca="1" ref="C8" ca="1">_xlfn.LET(
    _xlpm.vals, _xlfn.XLOOKUP(B8, 'ISE Average'!B:B, 'ISE Average'!C:F),
    AVERAGE(_xlpm.vals) * 30 * 1.25 * $V$3
)</f>
        <v>8.7960681789472055</v>
      </c>
      <c r="D8" s="27" cm="1">
        <f t="array" aca="1" ref="D8" ca="1">_xlfn.LET(
    _xlpm.vals, _xlfn.XLOOKUP(B8, 'ISE Average'!B:B, 'ISE Average'!J:M),
    AVERAGE(_xlpm.vals) * 30 * 1.25 * $V$3
)</f>
        <v>10.078828121710339</v>
      </c>
      <c r="E8" s="27" cm="1">
        <f t="array" aca="1" ref="E8" ca="1">_xlfn.LET(
    _xlpm.vals, _xlfn.XLOOKUP(B8, 'ISE Average'!B:B, 'ISE Average'!Q:U),
    AVERAGE(_xlpm.vals) * 30 * 1.25 * $V$3
)</f>
        <v>9.8955767013156084</v>
      </c>
      <c r="F8" s="27" cm="1">
        <f t="array" aca="1" ref="F8" ca="1">_xlfn.LET(
    _xlpm.vals, _xlfn.XLOOKUP(B8, 'ISE Average'!B:B, 'ISE Average'!X:AB),
    AVERAGE(_xlpm.vals) * 30 * 1.25 * $V$3
)</f>
        <v>13.48730454105238</v>
      </c>
      <c r="G8" s="27" cm="1">
        <f t="array" aca="1" ref="G8" ca="1">_xlfn.LET(
    _xlpm.vals, _xlfn.XLOOKUP(B8, 'ISE Average'!B:B, 'ISE Average'!AE:AI),
    AVERAGE(_xlpm.vals) * 30 * 1.25 * $V$3
)</f>
        <v>14.000408518157636</v>
      </c>
      <c r="H8" s="27" cm="1">
        <f t="array" aca="1" ref="H8" ca="1">_xlfn.LET(
    _xlpm.vals, _xlfn.XLOOKUP(B8, 'ISE Average'!B:B, 'ISE Average'!AL:AP),
    AVERAGE(_xlpm.vals) * 30 * 1.25 * $V$3
)</f>
        <v>11.947992609736621</v>
      </c>
      <c r="I8" s="27" cm="1">
        <f t="array" aca="1" ref="I8" ca="1">_xlfn.LET(
    _xlpm.vals, _xlfn.XLOOKUP(B8, 'ISE Average'!B:B, 'ISE Average'!AS:AW),
    AVERAGE(_xlpm.vals) * 30 * 1.25 * $V$3
)</f>
        <v>7.9897619292103785</v>
      </c>
      <c r="J8" s="24" t="s">
        <v>321</v>
      </c>
      <c r="L8" s="29">
        <f ca="1">ROUNDUP(C8,0)</f>
        <v>9</v>
      </c>
      <c r="M8" s="29">
        <f t="shared" ca="1" si="12"/>
        <v>11</v>
      </c>
      <c r="N8" s="29">
        <f t="shared" ca="1" si="12"/>
        <v>10</v>
      </c>
      <c r="O8" s="29">
        <f t="shared" ca="1" si="12"/>
        <v>14</v>
      </c>
      <c r="P8" s="29">
        <f t="shared" ca="1" si="12"/>
        <v>15</v>
      </c>
      <c r="Q8" s="29">
        <f t="shared" ca="1" si="12"/>
        <v>12</v>
      </c>
      <c r="R8" s="29">
        <f t="shared" ca="1" si="12"/>
        <v>8</v>
      </c>
      <c r="T8" s="32" t="s">
        <v>322</v>
      </c>
    </row>
    <row r="9" spans="1:23">
      <c r="A9" s="138"/>
      <c r="B9" s="20" t="s">
        <v>140</v>
      </c>
      <c r="C9" s="27" cm="1">
        <f t="array" aca="1" ref="C9" ca="1">_xlfn.LET(
    _xlpm.vals, _xlfn.XLOOKUP(B9, 'ISE Average'!B:B, 'ISE Average'!C:F),
    AVERAGE(_xlpm.vals) * 30 * 1.25 * $V$3
)</f>
        <v>4.5812855098683363</v>
      </c>
      <c r="D9" s="27" cm="1">
        <f t="array" aca="1" ref="D9" ca="1">_xlfn.LET(
    _xlpm.vals, _xlfn.XLOOKUP(B9, 'ISE Average'!B:B, 'ISE Average'!J:M),
    AVERAGE(_xlpm.vals) * 30 * 1.25 * $V$3
)</f>
        <v>5.2226654812499032</v>
      </c>
      <c r="E9" s="27" cm="1">
        <f t="array" aca="1" ref="E9" ca="1">_xlfn.LET(
    _xlpm.vals, _xlfn.XLOOKUP(B9, 'ISE Average'!B:B, 'ISE Average'!Q:U),
    AVERAGE(_xlpm.vals) * 30 * 1.25 * $V$3
)</f>
        <v>5.7907448844735772</v>
      </c>
      <c r="F9" s="27" cm="1">
        <f t="array" aca="1" ref="F9" ca="1">_xlfn.LET(
    _xlpm.vals, _xlfn.XLOOKUP(B9, 'ISE Average'!B:B, 'ISE Average'!X:AB),
    AVERAGE(_xlpm.vals) * 30 * 1.25 * $V$3
)</f>
        <v>6.4504499978946166</v>
      </c>
      <c r="G9" s="27" cm="1">
        <f t="array" aca="1" ref="G9" ca="1">_xlfn.LET(
    _xlpm.vals, _xlfn.XLOOKUP(B9, 'ISE Average'!B:B, 'ISE Average'!AE:AI),
    AVERAGE(_xlpm.vals) * 30 * 1.25 * $V$3
)</f>
        <v>6.7436522705261899</v>
      </c>
      <c r="H9" s="27" cm="1">
        <f t="array" aca="1" ref="H9" ca="1">_xlfn.LET(
    _xlpm.vals, _xlfn.XLOOKUP(B9, 'ISE Average'!B:B, 'ISE Average'!AL:AP),
    AVERAGE(_xlpm.vals) * 30 * 1.25 * $V$3
)</f>
        <v>6.9635539749998712</v>
      </c>
      <c r="I9" s="27" cm="1">
        <f t="array" aca="1" ref="I9" ca="1">_xlfn.LET(
    _xlpm.vals, _xlfn.XLOOKUP(B9, 'ISE Average'!B:B, 'ISE Average'!AS:AW),
    AVERAGE(_xlpm.vals) * 30 * 1.25 * $V$3
)</f>
        <v>4.3247335213157099</v>
      </c>
      <c r="J9" s="24" t="s">
        <v>321</v>
      </c>
      <c r="L9" s="29">
        <f t="shared" ref="L9:L15" ca="1" si="13">ROUNDUP(C9,0)</f>
        <v>5</v>
      </c>
      <c r="M9" s="29">
        <f t="shared" ca="1" si="12"/>
        <v>6</v>
      </c>
      <c r="N9" s="29">
        <f t="shared" ca="1" si="12"/>
        <v>6</v>
      </c>
      <c r="O9" s="29">
        <f t="shared" ca="1" si="12"/>
        <v>7</v>
      </c>
      <c r="P9" s="29">
        <f t="shared" ca="1" si="12"/>
        <v>7</v>
      </c>
      <c r="Q9" s="29">
        <f t="shared" ca="1" si="12"/>
        <v>7</v>
      </c>
      <c r="R9" s="29">
        <f t="shared" ca="1" si="12"/>
        <v>5</v>
      </c>
      <c r="T9" s="32" t="s">
        <v>322</v>
      </c>
    </row>
    <row r="10" spans="1:23">
      <c r="A10" s="138"/>
      <c r="B10" s="20" t="s">
        <v>116</v>
      </c>
      <c r="C10" s="27" cm="1">
        <f t="array" aca="1" ref="C10" ca="1">_xlfn.LET(
    _xlpm.vals, _xlfn.XLOOKUP(B10, 'ISE Average'!B:B, 'ISE Average'!C:F),
    AVERAGE(_xlpm.vals) * 20 * 1.25 * $V$3
)</f>
        <v>3.3596093739034467</v>
      </c>
      <c r="D10" s="27" cm="1">
        <f t="array" aca="1" ref="D10" ca="1">_xlfn.LET(
    _xlpm.vals, _xlfn.XLOOKUP(B10, 'ISE Average'!B:B, 'ISE Average'!J:M),
    AVERAGE(_xlpm.vals) * 20 * 1.25 * $V$3
)</f>
        <v>3.8482798282894022</v>
      </c>
      <c r="E10" s="27" cm="1">
        <f t="array" aca="1" ref="E10" ca="1">_xlfn.LET(
    _xlpm.vals, _xlfn.XLOOKUP(B10, 'ISE Average'!B:B, 'ISE Average'!Q:U),
    AVERAGE(_xlpm.vals) * 20 * 1.25 * $V$3
)</f>
        <v>3.6650284078946682</v>
      </c>
      <c r="F10" s="27" cm="1">
        <f t="array" aca="1" ref="F10" ca="1">_xlfn.LET(
    _xlpm.vals, _xlfn.XLOOKUP(B10, 'ISE Average'!B:B, 'ISE Average'!X:AB),
    AVERAGE(_xlpm.vals) * 20 * 1.25 * $V$3
)</f>
        <v>4.788970452982368</v>
      </c>
      <c r="G10" s="27" cm="1">
        <f t="array" aca="1" ref="G10" ca="1">_xlfn.LET(
    _xlpm.vals, _xlfn.XLOOKUP(B10, 'ISE Average'!B:B, 'ISE Average'!AE:AI),
    AVERAGE(_xlpm.vals) * 20 * 1.25 * $V$3
)</f>
        <v>4.3491670440350063</v>
      </c>
      <c r="H10" s="27" cm="1">
        <f t="array" aca="1" ref="H10" ca="1">_xlfn.LET(
    _xlpm.vals, _xlfn.XLOOKUP(B10, 'ISE Average'!B:B, 'ISE Average'!AL:AP),
    AVERAGE(_xlpm.vals) * 20 * 1.25 * $V$3
)</f>
        <v>4.1536988622806241</v>
      </c>
      <c r="I10" s="27" cm="1">
        <f t="array" aca="1" ref="I10" ca="1">_xlfn.LET(
    _xlpm.vals, _xlfn.XLOOKUP(B10, 'ISE Average'!B:B, 'ISE Average'!AS:AW),
    AVERAGE(_xlpm.vals) * 20 * 1.25 * $V$3
)</f>
        <v>3.3718261352630954</v>
      </c>
      <c r="J10" s="24" t="s">
        <v>321</v>
      </c>
      <c r="L10" s="29">
        <f t="shared" ca="1" si="13"/>
        <v>4</v>
      </c>
      <c r="M10" s="29">
        <f t="shared" ca="1" si="12"/>
        <v>4</v>
      </c>
      <c r="N10" s="29">
        <f t="shared" ca="1" si="12"/>
        <v>4</v>
      </c>
      <c r="O10" s="29">
        <f t="shared" ca="1" si="12"/>
        <v>5</v>
      </c>
      <c r="P10" s="29">
        <f t="shared" ca="1" si="12"/>
        <v>5</v>
      </c>
      <c r="Q10" s="29">
        <f t="shared" ca="1" si="12"/>
        <v>5</v>
      </c>
      <c r="R10" s="29">
        <f t="shared" ca="1" si="12"/>
        <v>4</v>
      </c>
      <c r="T10" s="32" t="s">
        <v>322</v>
      </c>
    </row>
    <row r="11" spans="1:23">
      <c r="A11" s="138"/>
      <c r="B11" s="20" t="s">
        <v>144</v>
      </c>
      <c r="C11" s="27" cm="1">
        <f t="array" aca="1" ref="C11" ca="1">_xlfn.LET(
    _xlpm.vals, _xlfn.XLOOKUP(B11, 'ISE Average'!B:B, 'ISE Average'!C:F),
    AVERAGE(_xlpm.vals) * 20 * 1.25 * $V$3
)</f>
        <v>1.4049275563596233</v>
      </c>
      <c r="D11" s="27" cm="1">
        <f t="array" aca="1" ref="D11" ca="1">_xlfn.LET(
    _xlpm.vals, _xlfn.XLOOKUP(B11, 'ISE Average'!B:B, 'ISE Average'!J:M),
    AVERAGE(_xlpm.vals) * 20 * 1.25 * $V$3
)</f>
        <v>1.649262783552601</v>
      </c>
      <c r="E11" s="27" cm="1">
        <f t="array" aca="1" ref="E11" ca="1">_xlfn.LET(
    _xlpm.vals, _xlfn.XLOOKUP(B11, 'ISE Average'!B:B, 'ISE Average'!Q:U),
    AVERAGE(_xlpm.vals) * 20 * 1.25 * $V$3
)</f>
        <v>2.1501499992982054</v>
      </c>
      <c r="F11" s="27" cm="1">
        <f t="array" aca="1" ref="F11" ca="1">_xlfn.LET(
    _xlpm.vals, _xlfn.XLOOKUP(B11, 'ISE Average'!B:B, 'ISE Average'!X:AB),
    AVERAGE(_xlpm.vals) * 20 * 1.25 * $V$3
)</f>
        <v>2.296751135613992</v>
      </c>
      <c r="G11" s="27" cm="1">
        <f t="array" aca="1" ref="G11" ca="1">_xlfn.LET(
    _xlpm.vals, _xlfn.XLOOKUP(B11, 'ISE Average'!B:B, 'ISE Average'!AE:AI),
    AVERAGE(_xlpm.vals) * 20 * 1.25 * $V$3
)</f>
        <v>2.1501499992982054</v>
      </c>
      <c r="H11" s="27" cm="1">
        <f t="array" aca="1" ref="H11" ca="1">_xlfn.LET(
    _xlpm.vals, _xlfn.XLOOKUP(B11, 'ISE Average'!B:B, 'ISE Average'!AL:AP),
    AVERAGE(_xlpm.vals) * 20 * 1.25 * $V$3
)</f>
        <v>2.2478840901753969</v>
      </c>
      <c r="I11" s="27" cm="1">
        <f t="array" aca="1" ref="I11" ca="1">_xlfn.LET(
    _xlpm.vals, _xlfn.XLOOKUP(B11, 'ISE Average'!B:B, 'ISE Average'!AS:AW),
    AVERAGE(_xlpm.vals) * 20 * 1.25 * $V$3
)</f>
        <v>1.6614795449122501</v>
      </c>
      <c r="J11" s="24" t="s">
        <v>321</v>
      </c>
      <c r="L11" s="29">
        <f t="shared" ca="1" si="13"/>
        <v>2</v>
      </c>
      <c r="M11" s="29">
        <f t="shared" ca="1" si="12"/>
        <v>2</v>
      </c>
      <c r="N11" s="29">
        <f t="shared" ca="1" si="12"/>
        <v>3</v>
      </c>
      <c r="O11" s="29">
        <f t="shared" ca="1" si="12"/>
        <v>3</v>
      </c>
      <c r="P11" s="29">
        <f t="shared" ca="1" si="12"/>
        <v>3</v>
      </c>
      <c r="Q11" s="29">
        <f t="shared" ca="1" si="12"/>
        <v>3</v>
      </c>
      <c r="R11" s="29">
        <f t="shared" ca="1" si="12"/>
        <v>2</v>
      </c>
      <c r="T11" s="32" t="s">
        <v>322</v>
      </c>
    </row>
    <row r="12" spans="1:23">
      <c r="A12" s="138"/>
      <c r="B12" s="20" t="s">
        <v>139</v>
      </c>
      <c r="C12" s="27" cm="1">
        <f t="array" aca="1" ref="C12" ca="1">_xlfn.LET(
    _xlpm.vals, _xlfn.XLOOKUP(B12, 'ISE Average'!B:B, 'ISE Average'!C:F),
    AVERAGE(_xlpm.vals) * 20 * 1.25 * $V$3
)</f>
        <v>4.2758664758771143</v>
      </c>
      <c r="D12" s="27" cm="1">
        <f t="array" aca="1" ref="D12" ca="1">_xlfn.LET(
    _xlpm.vals, _xlfn.XLOOKUP(B12, 'ISE Average'!B:B, 'ISE Average'!J:M),
    AVERAGE(_xlpm.vals) * 20 * 1.25 * $V$3
)</f>
        <v>5.1310397710525368</v>
      </c>
      <c r="E12" s="27" cm="1">
        <f t="array" aca="1" ref="E12" ca="1">_xlfn.LET(
    _xlpm.vals, _xlfn.XLOOKUP(B12, 'ISE Average'!B:B, 'ISE Average'!Q:U),
    AVERAGE(_xlpm.vals) * 20 * 1.25 * $V$3
)</f>
        <v>4.691236362105176</v>
      </c>
      <c r="F12" s="27" cm="1">
        <f t="array" aca="1" ref="F12" ca="1">_xlfn.LET(
    _xlpm.vals, _xlfn.XLOOKUP(B12, 'ISE Average'!B:B, 'ISE Average'!X:AB),
    AVERAGE(_xlpm.vals) * 20 * 1.25 * $V$3
)</f>
        <v>6.3038488615788308</v>
      </c>
      <c r="G12" s="27" cm="1">
        <f t="array" aca="1" ref="G12" ca="1">_xlfn.LET(
    _xlpm.vals, _xlfn.XLOOKUP(B12, 'ISE Average'!B:B, 'ISE Average'!AE:AI),
    AVERAGE(_xlpm.vals) * 20 * 1.25 * $V$3
)</f>
        <v>5.8151784071928736</v>
      </c>
      <c r="H12" s="27" cm="1">
        <f t="array" aca="1" ref="H12" ca="1">_xlfn.LET(
    _xlpm.vals, _xlfn.XLOOKUP(B12, 'ISE Average'!B:B, 'ISE Average'!AL:AP),
    AVERAGE(_xlpm.vals) * 20 * 1.25 * $V$3
)</f>
        <v>5.7174443163156843</v>
      </c>
      <c r="I12" s="27" cm="1">
        <f t="array" aca="1" ref="I12" ca="1">_xlfn.LET(
    _xlpm.vals, _xlfn.XLOOKUP(B12, 'ISE Average'!B:B, 'ISE Average'!AS:AW),
    AVERAGE(_xlpm.vals) * 20 * 1.25 * $V$3
)</f>
        <v>3.8116295442104562</v>
      </c>
      <c r="J12" s="24" t="s">
        <v>321</v>
      </c>
      <c r="L12" s="30">
        <f t="shared" ca="1" si="13"/>
        <v>5</v>
      </c>
      <c r="M12" s="30">
        <f t="shared" ca="1" si="12"/>
        <v>6</v>
      </c>
      <c r="N12" s="30">
        <f t="shared" ca="1" si="12"/>
        <v>5</v>
      </c>
      <c r="O12" s="30">
        <f t="shared" ca="1" si="12"/>
        <v>7</v>
      </c>
      <c r="P12" s="30">
        <f t="shared" ca="1" si="12"/>
        <v>6</v>
      </c>
      <c r="Q12" s="30">
        <f t="shared" ca="1" si="12"/>
        <v>6</v>
      </c>
      <c r="R12" s="30">
        <f t="shared" ca="1" si="12"/>
        <v>4</v>
      </c>
      <c r="T12" s="32" t="s">
        <v>322</v>
      </c>
    </row>
    <row r="13" spans="1:23">
      <c r="A13" s="138"/>
      <c r="B13" s="20" t="s">
        <v>145</v>
      </c>
      <c r="C13" s="27" cm="1">
        <f t="array" aca="1" ref="C13" ca="1">_xlfn.LET(
    _xlpm.vals, _xlfn.XLOOKUP(B13, 'ISE Average'!B:B, 'ISE Average'!C:F),
    AVERAGE(_xlpm.vals) * 20 * 1.25 * $V$3
)</f>
        <v>1.0995085223684009</v>
      </c>
      <c r="D13" s="27" cm="1">
        <f t="array" aca="1" ref="D13" ca="1">_xlfn.LET(
    _xlpm.vals, _xlfn.XLOOKUP(B13, 'ISE Average'!B:B, 'ISE Average'!J:M),
    AVERAGE(_xlpm.vals) * 20 * 1.25 * $V$3
)</f>
        <v>1.4660113631578675</v>
      </c>
      <c r="E13" s="27" cm="1">
        <f t="array" aca="1" ref="E13" ca="1">_xlfn.LET(
    _xlpm.vals, _xlfn.XLOOKUP(B13, 'ISE Average'!B:B, 'ISE Average'!Q:U),
    AVERAGE(_xlpm.vals) * 20 * 1.25 * $V$3
)</f>
        <v>1.2705431814034853</v>
      </c>
      <c r="F13" s="27" cm="1">
        <f t="array" aca="1" ref="F13" ca="1">_xlfn.LET(
    _xlpm.vals, _xlfn.XLOOKUP(B13, 'ISE Average'!B:B, 'ISE Average'!X:AB),
    AVERAGE(_xlpm.vals) * 20 * 1.25 * $V$3
)</f>
        <v>1.7592136357894412</v>
      </c>
      <c r="G13" s="27" cm="1">
        <f t="array" aca="1" ref="G13" ca="1">_xlfn.LET(
    _xlpm.vals, _xlfn.XLOOKUP(B13, 'ISE Average'!B:B, 'ISE Average'!AE:AI),
    AVERAGE(_xlpm.vals) * 20 * 1.25 * $V$3
)</f>
        <v>1.808080681228037</v>
      </c>
      <c r="H13" s="27" cm="1">
        <f t="array" aca="1" ref="H13" ca="1">_xlfn.LET(
    _xlpm.vals, _xlfn.XLOOKUP(B13, 'ISE Average'!B:B, 'ISE Average'!AL:AP),
    AVERAGE(_xlpm.vals) * 20 * 1.25 * $V$3
)</f>
        <v>1.8569477266666317</v>
      </c>
      <c r="I13" s="27" cm="1">
        <f t="array" aca="1" ref="I13" ca="1">_xlfn.LET(
    _xlpm.vals, _xlfn.XLOOKUP(B13, 'ISE Average'!B:B, 'ISE Average'!AS:AW),
    AVERAGE(_xlpm.vals) * 20 * 1.25 * $V$3
)</f>
        <v>0.97734090877191171</v>
      </c>
      <c r="J13" s="24" t="s">
        <v>321</v>
      </c>
      <c r="L13" s="29">
        <f t="shared" ca="1" si="13"/>
        <v>2</v>
      </c>
      <c r="M13" s="29">
        <f t="shared" ca="1" si="12"/>
        <v>2</v>
      </c>
      <c r="N13" s="29">
        <f t="shared" ca="1" si="12"/>
        <v>2</v>
      </c>
      <c r="O13" s="29">
        <f t="shared" ca="1" si="12"/>
        <v>2</v>
      </c>
      <c r="P13" s="29">
        <f t="shared" ca="1" si="12"/>
        <v>2</v>
      </c>
      <c r="Q13" s="29">
        <f t="shared" ca="1" si="12"/>
        <v>2</v>
      </c>
      <c r="R13" s="29">
        <f t="shared" ca="1" si="12"/>
        <v>1</v>
      </c>
      <c r="T13" s="32" t="s">
        <v>322</v>
      </c>
    </row>
    <row r="14" spans="1:23">
      <c r="A14" s="138"/>
      <c r="B14" s="20" t="s">
        <v>156</v>
      </c>
      <c r="C14" s="27" cm="1">
        <f t="array" aca="1" ref="C14" ca="1">_xlfn.LET(
    _xlpm.vals, _xlfn.XLOOKUP(B14, 'ISE Average'!B:B, 'ISE Average'!C:F),
    AVERAGE(_xlpm.vals) * 1.25 * $V$3
)</f>
        <v>2.0218740050218926</v>
      </c>
      <c r="D14" s="27" cm="1">
        <f t="array" aca="1" ref="D14" ca="1">_xlfn.LET(
    _xlpm.vals, _xlfn.XLOOKUP(B14, 'ISE Average'!B:B, 'ISE Average'!J:M),
    AVERAGE(_xlpm.vals) * 1.25 * $V$3
)</f>
        <v>2.2265047577960111</v>
      </c>
      <c r="E14" s="27" cm="1">
        <f t="array" aca="1" ref="E14" ca="1">_xlfn.LET(
    _xlpm.vals, _xlfn.XLOOKUP(B14, 'ISE Average'!B:B, 'ISE Average'!Q:U),
    AVERAGE(_xlpm.vals) * 1.25 * $V$3
)</f>
        <v>2.260100851535046</v>
      </c>
      <c r="F14" s="27" cm="1">
        <f t="array" aca="1" ref="F14" ca="1">_xlfn.LET(
    _xlpm.vals, _xlfn.XLOOKUP(B14, 'ISE Average'!B:B, 'ISE Average'!X:AB),
    AVERAGE(_xlpm.vals) * 1.25 * $V$3
)</f>
        <v>3.2227816466753794</v>
      </c>
      <c r="G14" s="27" cm="1">
        <f t="array" aca="1" ref="G14" ca="1">_xlfn.LET(
    _xlpm.vals, _xlfn.XLOOKUP(B14, 'ISE Average'!B:B, 'ISE Average'!AE:AI),
    AVERAGE(_xlpm.vals) * 1.25 * $V$3
)</f>
        <v>3.1299342603420479</v>
      </c>
      <c r="H14" s="27" cm="1">
        <f t="array" aca="1" ref="H14" ca="1">_xlfn.LET(
    _xlpm.vals, _xlfn.XLOOKUP(B14, 'ISE Average'!B:B, 'ISE Average'!AL:AP),
    AVERAGE(_xlpm.vals) * 1.25 * $V$3
)</f>
        <v>2.3505048855964481</v>
      </c>
      <c r="I14" s="27" cm="1">
        <f t="array" aca="1" ref="I14" ca="1">_xlfn.LET(
    _xlpm.vals, _xlfn.XLOOKUP(B14, 'ISE Average'!B:B, 'ISE Average'!AS:AW),
    AVERAGE(_xlpm.vals) * 1.25 * $V$3
)</f>
        <v>1.705459885806986</v>
      </c>
      <c r="J14" s="24" t="s">
        <v>323</v>
      </c>
      <c r="L14" s="29">
        <f ca="1">ROUNDUP(C14,0)</f>
        <v>3</v>
      </c>
      <c r="M14" s="29">
        <f t="shared" ca="1" si="12"/>
        <v>3</v>
      </c>
      <c r="N14" s="29">
        <f t="shared" ca="1" si="12"/>
        <v>3</v>
      </c>
      <c r="O14" s="29">
        <f t="shared" ca="1" si="12"/>
        <v>4</v>
      </c>
      <c r="P14" s="29">
        <f t="shared" ca="1" si="12"/>
        <v>4</v>
      </c>
      <c r="Q14" s="29">
        <f t="shared" ca="1" si="12"/>
        <v>3</v>
      </c>
      <c r="R14" s="29">
        <f t="shared" ca="1" si="12"/>
        <v>2</v>
      </c>
      <c r="T14" s="32" t="s">
        <v>322</v>
      </c>
    </row>
    <row r="15" spans="1:23">
      <c r="A15" s="138"/>
      <c r="B15" s="20" t="s">
        <v>158</v>
      </c>
      <c r="C15" s="27" cm="1">
        <f t="array" aca="1" ref="C15" ca="1">_xlfn.LET(
    _xlpm.vals, _xlfn.XLOOKUP(B15, 'ISE Average'!B:B, 'ISE Average'!C:F),
    AVERAGE(_xlpm.vals) / 1850 * 1.25 * $V$3
)</f>
        <v>1.5976056939656527</v>
      </c>
      <c r="D15" s="27" cm="1">
        <f t="array" aca="1" ref="D15" ca="1">_xlfn.LET(
    _xlpm.vals, _xlfn.XLOOKUP(B15, 'ISE Average'!B:B, 'ISE Average'!J:M),
    AVERAGE(_xlpm.vals) / 1850 * 1.25 * $V$3
)</f>
        <v>1.7975478518395829</v>
      </c>
      <c r="E15" s="27" cm="1">
        <f t="array" aca="1" ref="E15" ca="1">_xlfn.LET(
    _xlpm.vals, _xlfn.XLOOKUP(B15, 'ISE Average'!B:B, 'ISE Average'!Q:U),
    AVERAGE(_xlpm.vals) / 1850 * 1.25 * $V$3
)</f>
        <v>1.9427820316140465</v>
      </c>
      <c r="F15" s="27" cm="1">
        <f t="array" aca="1" ref="F15" ca="1">_xlfn.LET(
    _xlpm.vals, _xlfn.XLOOKUP(B15, 'ISE Average'!B:B, 'ISE Average'!X:AB),
    AVERAGE(_xlpm.vals) / 1850 * 1.25 * $V$3
)</f>
        <v>2.5374279380538649</v>
      </c>
      <c r="G15" s="27" cm="1">
        <f t="array" aca="1" ref="G15" ca="1">_xlfn.LET(
    _xlpm.vals, _xlfn.XLOOKUP(B15, 'ISE Average'!B:B, 'ISE Average'!AE:AI),
    AVERAGE(_xlpm.vals) / 1850 * 1.25 * $V$3
)</f>
        <v>2.4944777673062126</v>
      </c>
      <c r="H15" s="27" cm="1">
        <f t="array" aca="1" ref="H15" ca="1">_xlfn.LET(
    _xlpm.vals, _xlfn.XLOOKUP(B15, 'ISE Average'!B:B, 'ISE Average'!AL:AP),
    AVERAGE(_xlpm.vals) / 1850 * 1.25 * $V$3
)</f>
        <v>1.8410329186251437</v>
      </c>
      <c r="I15" s="27" cm="1">
        <f t="array" aca="1" ref="I15" ca="1">_xlfn.LET(
    _xlpm.vals, _xlfn.XLOOKUP(B15, 'ISE Average'!B:B, 'ISE Average'!AS:AW),
    AVERAGE(_xlpm.vals) / 1850 * 1.25 * $V$3
)</f>
        <v>1.3106934025206016</v>
      </c>
      <c r="J15" s="24" t="s">
        <v>323</v>
      </c>
      <c r="L15" s="29">
        <f t="shared" ca="1" si="13"/>
        <v>2</v>
      </c>
      <c r="M15" s="29">
        <f t="shared" ca="1" si="12"/>
        <v>2</v>
      </c>
      <c r="N15" s="29">
        <f t="shared" ca="1" si="12"/>
        <v>2</v>
      </c>
      <c r="O15" s="29">
        <f t="shared" ca="1" si="12"/>
        <v>3</v>
      </c>
      <c r="P15" s="29">
        <f t="shared" ca="1" si="12"/>
        <v>3</v>
      </c>
      <c r="Q15" s="29">
        <f t="shared" ca="1" si="12"/>
        <v>2</v>
      </c>
      <c r="R15" s="29">
        <f t="shared" ca="1" si="12"/>
        <v>2</v>
      </c>
      <c r="T15" s="32" t="s">
        <v>322</v>
      </c>
    </row>
    <row r="16" spans="1:23" ht="15" customHeight="1">
      <c r="A16" s="139" t="s">
        <v>324</v>
      </c>
      <c r="B16" s="33" t="s">
        <v>169</v>
      </c>
      <c r="C16" s="27" cm="1">
        <f t="array" aca="1" ref="C16" ca="1">_xlfn.LET(
    _xlpm.vals, _xlfn.XLOOKUP(B16, 'ISE Average'!B:B, 'ISE Average'!C:F),
    AVERAGE(_xlpm.vals) * $V$3
)</f>
        <v>0.67436522705261903</v>
      </c>
      <c r="D16" s="27" cm="1">
        <f t="array" aca="1" ref="D16" ca="1">_xlfn.LET(
    _xlpm.vals, _xlfn.XLOOKUP(B16, 'ISE Average'!B:B, 'ISE Average'!J:M),
    AVERAGE(_xlpm.vals) * $V$3
)</f>
        <v>0.81363630655261654</v>
      </c>
      <c r="E16" s="27" cm="1">
        <f t="array" aca="1" ref="E16" ca="1">_xlfn.LET(
    _xlpm.vals, _xlfn.XLOOKUP(B16, 'ISE Average'!B:B, 'ISE Average'!Q:U),
    AVERAGE(_xlpm.vals) * $V$3
)</f>
        <v>0.76428059065963494</v>
      </c>
      <c r="F16" s="27" cm="1">
        <f t="array" aca="1" ref="F16" ca="1">_xlfn.LET(
    _xlpm.vals, _xlfn.XLOOKUP(B16, 'ISE Average'!B:B, 'ISE Average'!X:AB),
    AVERAGE(_xlpm.vals) * $V$3
)</f>
        <v>1.1376248178105053</v>
      </c>
      <c r="G16" s="27" cm="1">
        <f t="array" aca="1" ref="G16" ca="1">_xlfn.LET(
    _xlpm.vals, _xlfn.XLOOKUP(B16, 'ISE Average'!B:B, 'ISE Average'!AE:AI),
    AVERAGE(_xlpm.vals) * $V$3
)</f>
        <v>1.1180779996350672</v>
      </c>
      <c r="H16" s="27" cm="1">
        <f t="array" aca="1" ref="H16" ca="1">_xlfn.LET(
    _xlpm.vals, _xlfn.XLOOKUP(B16, 'ISE Average'!B:B, 'ISE Average'!AL:AP),
    AVERAGE(_xlpm.vals) * $V$3
)</f>
        <v>1.0105704996701568</v>
      </c>
      <c r="I16" s="27" cm="1">
        <f t="array" aca="1" ref="I16" ca="1">_xlfn.LET(
    _xlpm.vals, _xlfn.XLOOKUP(B16, 'ISE Average'!B:B, 'ISE Average'!AS:AW),
    AVERAGE(_xlpm.vals) * $V$3
)</f>
        <v>0.70564013613332033</v>
      </c>
      <c r="J16" s="24" t="s">
        <v>325</v>
      </c>
      <c r="L16" s="29">
        <f ca="1">C16+D16+E16</f>
        <v>2.2522821242648705</v>
      </c>
      <c r="M16" s="29">
        <f t="shared" ref="M16:P16" ca="1" si="14">D16+E16+F16</f>
        <v>2.7155417150227565</v>
      </c>
      <c r="N16" s="29">
        <f t="shared" ca="1" si="14"/>
        <v>3.0199834081052073</v>
      </c>
      <c r="O16" s="29">
        <f t="shared" ca="1" si="14"/>
        <v>3.2662733171157292</v>
      </c>
      <c r="P16" s="29">
        <f t="shared" ca="1" si="14"/>
        <v>2.8342886354385444</v>
      </c>
      <c r="Q16" s="29">
        <f ca="1">H16+I16+C16</f>
        <v>2.390575862856096</v>
      </c>
      <c r="R16" s="29">
        <f ca="1">I16+C16+D16</f>
        <v>2.1936416697385557</v>
      </c>
      <c r="T16" s="32" t="s">
        <v>326</v>
      </c>
    </row>
    <row r="17" spans="1:20">
      <c r="A17" s="139"/>
      <c r="B17" s="33" t="s">
        <v>167</v>
      </c>
      <c r="C17" s="27" cm="1">
        <f t="array" aca="1" ref="C17" ca="1">_xlfn.LET(
    _xlpm.vals, _xlfn.XLOOKUP(B17, 'ISE Average'!B:B, 'ISE Average'!C:F),
    AVERAGE(_xlpm.vals) * $V$3
)</f>
        <v>0.87960681789472051</v>
      </c>
      <c r="D17" s="27" cm="1">
        <f t="array" aca="1" ref="D17" ca="1">_xlfn.LET(
    _xlpm.vals, _xlfn.XLOOKUP(B17, 'ISE Average'!B:B, 'ISE Average'!J:M),
    AVERAGE(_xlpm.vals) * $V$3
)</f>
        <v>1.0677449428333137</v>
      </c>
      <c r="E17" s="27" cm="1">
        <f t="array" aca="1" ref="E17" ca="1">_xlfn.LET(
    _xlpm.vals, _xlfn.XLOOKUP(B17, 'ISE Average'!B:B, 'ISE Average'!Q:U),
    AVERAGE(_xlpm.vals) * $V$3
)</f>
        <v>1.084848408736822</v>
      </c>
      <c r="F17" s="27" cm="1">
        <f t="array" aca="1" ref="F17" ca="1">_xlfn.LET(
    _xlpm.vals, _xlfn.XLOOKUP(B17, 'ISE Average'!B:B, 'ISE Average'!X:AB),
    AVERAGE(_xlpm.vals) * $V$3
)</f>
        <v>1.2275401814175211</v>
      </c>
      <c r="G17" s="27" cm="1">
        <f t="array" aca="1" ref="G17" ca="1">_xlfn.LET(
    _xlpm.vals, _xlfn.XLOOKUP(B17, 'ISE Average'!B:B, 'ISE Average'!AE:AI),
    AVERAGE(_xlpm.vals) * $V$3
)</f>
        <v>1.2920446813964674</v>
      </c>
      <c r="H17" s="27" cm="1">
        <f t="array" aca="1" ref="H17" ca="1">_xlfn.LET(
    _xlpm.vals, _xlfn.XLOOKUP(B17, 'ISE Average'!B:B, 'ISE Average'!AL:AP),
    AVERAGE(_xlpm.vals) * $V$3
)</f>
        <v>1.2079933632420832</v>
      </c>
      <c r="I17" s="27" cm="1">
        <f t="array" aca="1" ref="I17" ca="1">_xlfn.LET(
    _xlpm.vals, _xlfn.XLOOKUP(B17, 'ISE Average'!B:B, 'ISE Average'!AS:AW),
    AVERAGE(_xlpm.vals) * $V$3
)</f>
        <v>0.92065513606314076</v>
      </c>
      <c r="J17" s="24" t="s">
        <v>325</v>
      </c>
      <c r="L17" s="29">
        <f t="shared" ref="L17:L21" ca="1" si="15">C17+D17+E17</f>
        <v>3.0322001694648559</v>
      </c>
      <c r="M17" s="29">
        <f t="shared" ref="M17:M21" ca="1" si="16">D17+E17+F17</f>
        <v>3.3801335329876565</v>
      </c>
      <c r="N17" s="29">
        <f t="shared" ref="N17:N21" ca="1" si="17">E17+F17+G17</f>
        <v>3.6044332715508105</v>
      </c>
      <c r="O17" s="29">
        <f t="shared" ref="O17:O21" ca="1" si="18">F17+G17+H17</f>
        <v>3.7275782260560715</v>
      </c>
      <c r="P17" s="29">
        <f t="shared" ref="P17:P21" ca="1" si="19">G17+H17+I17</f>
        <v>3.4206931807016914</v>
      </c>
      <c r="Q17" s="29">
        <f t="shared" ref="Q17:Q21" ca="1" si="20">H17+I17+C17</f>
        <v>3.0082553171999447</v>
      </c>
      <c r="R17" s="29">
        <f t="shared" ref="R17:R21" ca="1" si="21">I17+C17+D17</f>
        <v>2.8680068967911749</v>
      </c>
      <c r="T17" s="32" t="s">
        <v>326</v>
      </c>
    </row>
    <row r="18" spans="1:20">
      <c r="A18" s="139"/>
      <c r="B18" s="33" t="s">
        <v>170</v>
      </c>
      <c r="C18" s="27" cm="1">
        <f t="array" aca="1" ref="C18" ca="1">_xlfn.LET(
    _xlpm.vals, _xlfn.XLOOKUP(B18, 'ISE Average'!B:B, 'ISE Average'!C:F),
    AVERAGE(_xlpm.vals) * $V$3
)</f>
        <v>0.24189187492104813</v>
      </c>
      <c r="D18" s="27" cm="1">
        <f t="array" aca="1" ref="D18" ca="1">_xlfn.LET(
    _xlpm.vals, _xlfn.XLOOKUP(B18, 'ISE Average'!B:B, 'ISE Average'!J:M),
    AVERAGE(_xlpm.vals) * $V$3
)</f>
        <v>0.27609880672806503</v>
      </c>
      <c r="E18" s="27" cm="1">
        <f t="array" aca="1" ref="E18" ca="1">_xlfn.LET(
    _xlpm.vals, _xlfn.XLOOKUP(B18, 'ISE Average'!B:B, 'ISE Average'!Q:U),
    AVERAGE(_xlpm.vals) * $V$3
)</f>
        <v>0.2560633180982409</v>
      </c>
      <c r="F18" s="27" cm="1">
        <f t="array" aca="1" ref="F18" ca="1">_xlfn.LET(
    _xlpm.vals, _xlfn.XLOOKUP(B18, 'ISE Average'!B:B, 'ISE Average'!X:AB),
    AVERAGE(_xlpm.vals) * $V$3
)</f>
        <v>0.36161613624560734</v>
      </c>
      <c r="G18" s="27" cm="1">
        <f t="array" aca="1" ref="G18" ca="1">_xlfn.LET(
    _xlpm.vals, _xlfn.XLOOKUP(B18, 'ISE Average'!B:B, 'ISE Average'!AE:AI),
    AVERAGE(_xlpm.vals) * $V$3
)</f>
        <v>0.35184272715788822</v>
      </c>
      <c r="H18" s="27" cm="1">
        <f t="array" aca="1" ref="H18" ca="1">_xlfn.LET(
    _xlpm.vals, _xlfn.XLOOKUP(B18, 'ISE Average'!B:B, 'ISE Average'!AL:AP),
    AVERAGE(_xlpm.vals) * $V$3
)</f>
        <v>0.40461913623157142</v>
      </c>
      <c r="I18" s="27" cm="1">
        <f t="array" aca="1" ref="I18" ca="1">_xlfn.LET(
    _xlpm.vals, _xlfn.XLOOKUP(B18, 'ISE Average'!B:B, 'ISE Average'!AS:AW),
    AVERAGE(_xlpm.vals) * $V$3
)</f>
        <v>0.22869777265262733</v>
      </c>
      <c r="J18" s="24" t="s">
        <v>325</v>
      </c>
      <c r="L18" s="29">
        <f t="shared" ca="1" si="15"/>
        <v>0.774053999747354</v>
      </c>
      <c r="M18" s="29">
        <f t="shared" ca="1" si="16"/>
        <v>0.89377826107191338</v>
      </c>
      <c r="N18" s="29">
        <f t="shared" ca="1" si="17"/>
        <v>0.96952218150173641</v>
      </c>
      <c r="O18" s="29">
        <f t="shared" ca="1" si="18"/>
        <v>1.1180779996350669</v>
      </c>
      <c r="P18" s="29">
        <f t="shared" ca="1" si="19"/>
        <v>0.98515963604208701</v>
      </c>
      <c r="Q18" s="29">
        <f t="shared" ca="1" si="20"/>
        <v>0.87520878380524691</v>
      </c>
      <c r="R18" s="29">
        <f t="shared" ca="1" si="21"/>
        <v>0.74668845430174047</v>
      </c>
      <c r="T18" s="32" t="s">
        <v>326</v>
      </c>
    </row>
    <row r="19" spans="1:20">
      <c r="A19" s="139"/>
      <c r="B19" s="33" t="s">
        <v>327</v>
      </c>
      <c r="C19" s="27" cm="1">
        <f t="array" aca="1" ref="C19" ca="1">_xlfn.LET(
    _xlpm.vals, _xlfn.XLOOKUP(B19, 'ISE Average'!B:B, 'ISE Average'!C:F),
    AVERAGE(_xlpm.vals) * $V$3
)</f>
        <v>0.50821727256139415</v>
      </c>
      <c r="D19" s="27" cm="1">
        <f t="array" aca="1" ref="D19" ca="1">_xlfn.LET(
    _xlpm.vals, _xlfn.XLOOKUP(B19, 'ISE Average'!B:B, 'ISE Average'!J:M),
    AVERAGE(_xlpm.vals) * $V$3
)</f>
        <v>0.52776409073683228</v>
      </c>
      <c r="E19" s="27" cm="1">
        <f t="array" aca="1" ref="E19" ca="1">_xlfn.LET(
    _xlpm.vals, _xlfn.XLOOKUP(B19, 'ISE Average'!B:B, 'ISE Average'!Q:U),
    AVERAGE(_xlpm.vals) * $V$3
)</f>
        <v>0.54340154527718298</v>
      </c>
      <c r="F19" s="27" cm="1">
        <f t="array" aca="1" ref="F19" ca="1">_xlfn.LET(
    _xlpm.vals, _xlfn.XLOOKUP(B19, 'ISE Average'!B:B, 'ISE Average'!X:AB),
    AVERAGE(_xlpm.vals) * $V$3
)</f>
        <v>0.76818995429472259</v>
      </c>
      <c r="G19" s="27" cm="1">
        <f t="array" aca="1" ref="G19" ca="1">_xlfn.LET(
    _xlpm.vals, _xlfn.XLOOKUP(B19, 'ISE Average'!B:B, 'ISE Average'!AE:AI),
    AVERAGE(_xlpm.vals) * $V$3
)</f>
        <v>0.76818995429472248</v>
      </c>
      <c r="H19" s="27" cm="1">
        <f t="array" aca="1" ref="H19" ca="1">_xlfn.LET(
    _xlpm.vals, _xlfn.XLOOKUP(B19, 'ISE Average'!B:B, 'ISE Average'!AL:AP),
    AVERAGE(_xlpm.vals) * $V$3
)</f>
        <v>0.65090904524209325</v>
      </c>
      <c r="I19" s="27" cm="1">
        <f t="array" aca="1" ref="I19" ca="1">_xlfn.LET(
    _xlpm.vals, _xlfn.XLOOKUP(B19, 'ISE Average'!B:B, 'ISE Average'!AS:AW),
    AVERAGE(_xlpm.vals) * $V$3
)</f>
        <v>0.47694236348069291</v>
      </c>
      <c r="J19" s="24" t="s">
        <v>325</v>
      </c>
      <c r="L19" s="29">
        <f t="shared" ca="1" si="15"/>
        <v>1.5793829085754094</v>
      </c>
      <c r="M19" s="29">
        <f t="shared" ca="1" si="16"/>
        <v>1.839355590308738</v>
      </c>
      <c r="N19" s="29">
        <f t="shared" ca="1" si="17"/>
        <v>2.0797814538666279</v>
      </c>
      <c r="O19" s="29">
        <f t="shared" ca="1" si="18"/>
        <v>2.1872889538315383</v>
      </c>
      <c r="P19" s="29">
        <f t="shared" ca="1" si="19"/>
        <v>1.8960413630175086</v>
      </c>
      <c r="Q19" s="29">
        <f t="shared" ca="1" si="20"/>
        <v>1.6360686812841805</v>
      </c>
      <c r="R19" s="29">
        <f t="shared" ca="1" si="21"/>
        <v>1.5129237267789195</v>
      </c>
      <c r="T19" s="32" t="s">
        <v>326</v>
      </c>
    </row>
    <row r="20" spans="1:20">
      <c r="A20" s="139"/>
      <c r="B20" s="33" t="s">
        <v>165</v>
      </c>
      <c r="C20" s="27" cm="1">
        <f t="array" aca="1" ref="C20" ca="1">_xlfn.LET(
    _xlpm.vals, _xlfn.XLOOKUP(B20, 'ISE Average'!B:B, 'ISE Average'!C:F),
    AVERAGE(_xlpm.vals) * $V$3
)</f>
        <v>0.54486755664034081</v>
      </c>
      <c r="D20" s="27" cm="1">
        <f t="array" aca="1" ref="D20" ca="1">_xlfn.LET(
    _xlpm.vals, _xlfn.XLOOKUP(B20, 'ISE Average'!B:B, 'ISE Average'!J:M),
    AVERAGE(_xlpm.vals) * $V$3
)</f>
        <v>0.62549818161402349</v>
      </c>
      <c r="E20" s="27" cm="1">
        <f t="array" aca="1" ref="E20" ca="1">_xlfn.LET(
    _xlpm.vals, _xlfn.XLOOKUP(B20, 'ISE Average'!B:B, 'ISE Average'!Q:U),
    AVERAGE(_xlpm.vals) * $V$3
)</f>
        <v>0.59813263616841006</v>
      </c>
      <c r="F20" s="27" cm="1">
        <f t="array" aca="1" ref="F20" ca="1">_xlfn.LET(
    _xlpm.vals, _xlfn.XLOOKUP(B20, 'ISE Average'!B:B, 'ISE Average'!X:AB),
    AVERAGE(_xlpm.vals) * $V$3
)</f>
        <v>0.83073977245612496</v>
      </c>
      <c r="G20" s="27" cm="1">
        <f t="array" aca="1" ref="G20" ca="1">_xlfn.LET(
    _xlpm.vals, _xlfn.XLOOKUP(B20, 'ISE Average'!B:B, 'ISE Average'!AE:AI),
    AVERAGE(_xlpm.vals) * $V$3
)</f>
        <v>0.80337422701051153</v>
      </c>
      <c r="H20" s="27" cm="1">
        <f t="array" aca="1" ref="H20" ca="1">_xlfn.LET(
    _xlpm.vals, _xlfn.XLOOKUP(B20, 'ISE Average'!B:B, 'ISE Average'!AL:AP),
    AVERAGE(_xlpm.vals) * $V$3
)</f>
        <v>0.75059781793682834</v>
      </c>
      <c r="I20" s="27" cm="1">
        <f t="array" aca="1" ref="I20" ca="1">_xlfn.LET(
    _xlpm.vals, _xlfn.XLOOKUP(B20, 'ISE Average'!B:B, 'ISE Average'!AS:AW),
    AVERAGE(_xlpm.vals) * $V$3
)</f>
        <v>0.51799068164911322</v>
      </c>
      <c r="J20" s="24" t="s">
        <v>325</v>
      </c>
      <c r="L20" s="29">
        <f t="shared" ca="1" si="15"/>
        <v>1.7684983744227742</v>
      </c>
      <c r="M20" s="29">
        <f t="shared" ca="1" si="16"/>
        <v>2.0543705902385585</v>
      </c>
      <c r="N20" s="29">
        <f t="shared" ca="1" si="17"/>
        <v>2.2322466356350468</v>
      </c>
      <c r="O20" s="29">
        <f t="shared" ca="1" si="18"/>
        <v>2.3847118174034647</v>
      </c>
      <c r="P20" s="29">
        <f t="shared" ca="1" si="19"/>
        <v>2.0719627265964533</v>
      </c>
      <c r="Q20" s="29">
        <f t="shared" ca="1" si="20"/>
        <v>1.8134560562262823</v>
      </c>
      <c r="R20" s="29">
        <f t="shared" ca="1" si="21"/>
        <v>1.6883564199034775</v>
      </c>
      <c r="T20" s="32" t="s">
        <v>326</v>
      </c>
    </row>
    <row r="21" spans="1:20">
      <c r="A21" s="139"/>
      <c r="B21" s="33" t="s">
        <v>55</v>
      </c>
      <c r="C21" s="27" cm="1">
        <f t="array" aca="1" ref="C21" ca="1">_xlfn.LET(
    _xlpm.vals, _xlfn.XLOOKUP(B21, 'ISE Average'!B:B, 'ISE Average'!C:F),
    AVERAGE(_xlpm.vals) * $V$3
)</f>
        <v>0.64993170433332137</v>
      </c>
      <c r="D21" s="27" cm="1">
        <f t="array" aca="1" ref="D21" ca="1">_xlfn.LET(
    _xlpm.vals, _xlfn.XLOOKUP(B21, 'ISE Average'!B:B, 'ISE Average'!J:M),
    AVERAGE(_xlpm.vals) * $V$3
)</f>
        <v>0.84539988608770378</v>
      </c>
      <c r="E21" s="27" cm="1">
        <f t="array" aca="1" ref="E21" ca="1">_xlfn.LET(
    _xlpm.vals, _xlfn.XLOOKUP(B21, 'ISE Average'!B:B, 'ISE Average'!Q:U),
    AVERAGE(_xlpm.vals) * $V$3
)</f>
        <v>0.85615063608419462</v>
      </c>
      <c r="F21" s="27" cm="1">
        <f t="array" aca="1" ref="F21" ca="1">_xlfn.LET(
    _xlpm.vals, _xlfn.XLOOKUP(B21, 'ISE Average'!B:B, 'ISE Average'!X:AB),
    AVERAGE(_xlpm.vals) * $V$3
)</f>
        <v>0.97929559058945559</v>
      </c>
      <c r="G21" s="27" cm="1">
        <f t="array" aca="1" ref="G21" ca="1">_xlfn.LET(
    _xlpm.vals, _xlfn.XLOOKUP(B21, 'ISE Average'!B:B, 'ISE Average'!AE:AI),
    AVERAGE(_xlpm.vals) * $V$3
)</f>
        <v>1.0027517723999815</v>
      </c>
      <c r="H21" s="27" cm="1">
        <f t="array" aca="1" ref="H21" ca="1">_xlfn.LET(
    _xlpm.vals, _xlfn.XLOOKUP(B21, 'ISE Average'!B:B, 'ISE Average'!AL:AP),
    AVERAGE(_xlpm.vals) * $V$3
)</f>
        <v>0.84246786336138801</v>
      </c>
      <c r="I21" s="27" cm="1">
        <f t="array" aca="1" ref="I21" ca="1">_xlfn.LET(
    _xlpm.vals, _xlfn.XLOOKUP(B21, 'ISE Average'!B:B, 'ISE Average'!AS:AW),
    AVERAGE(_xlpm.vals) * $V$3
)</f>
        <v>0.57858581799297171</v>
      </c>
      <c r="J21" s="24" t="s">
        <v>325</v>
      </c>
      <c r="L21" s="29">
        <f t="shared" ca="1" si="15"/>
        <v>2.3514822265052198</v>
      </c>
      <c r="M21" s="29">
        <f t="shared" ca="1" si="16"/>
        <v>2.6808461127613539</v>
      </c>
      <c r="N21" s="29">
        <f t="shared" ca="1" si="17"/>
        <v>2.8381979990736319</v>
      </c>
      <c r="O21" s="29">
        <f t="shared" ca="1" si="18"/>
        <v>2.8245152263508251</v>
      </c>
      <c r="P21" s="29">
        <f t="shared" ca="1" si="19"/>
        <v>2.4238054537543414</v>
      </c>
      <c r="Q21" s="29">
        <f t="shared" ca="1" si="20"/>
        <v>2.0709853856876812</v>
      </c>
      <c r="R21" s="29">
        <f t="shared" ca="1" si="21"/>
        <v>2.0739174084139966</v>
      </c>
      <c r="T21" s="32" t="s">
        <v>326</v>
      </c>
    </row>
    <row r="22" spans="1:20">
      <c r="A22" s="139"/>
      <c r="B22" s="33" t="s">
        <v>123</v>
      </c>
      <c r="C22" s="27" cm="1">
        <f t="array" aca="1" ref="C22" ca="1">_xlfn.LET(
    _xlpm.vals, _xlfn.XLOOKUP(B22, 'ISE Average'!B:B, 'ISE Average'!C:F),
    AVERAGE(_xlpm.vals) * 8 * $V$3
)</f>
        <v>10.28162636028051</v>
      </c>
      <c r="D22" s="27" cm="1">
        <f t="array" aca="1" ref="D22" ca="1">_xlfn.LET(
    _xlpm.vals, _xlfn.XLOOKUP(B22, 'ISE Average'!B:B, 'ISE Average'!J:M),
    AVERAGE(_xlpm.vals) * 8  * $V$3
)</f>
        <v>11.473982268982244</v>
      </c>
      <c r="E22" s="27" cm="1">
        <f t="array" aca="1" ref="E22" ca="1">_xlfn.LET(
    _xlpm.vals, _xlfn.XLOOKUP(B22, 'ISE Average'!B:B, 'ISE Average'!Q:U),
    AVERAGE(_xlpm.vals) * 8  * $V$3
)</f>
        <v>11.415341814455926</v>
      </c>
      <c r="F22" s="27" cm="1">
        <f t="array" aca="1" ref="F22" ca="1">_xlfn.LET(
    _xlpm.vals, _xlfn.XLOOKUP(B22, 'ISE Average'!B:B, 'ISE Average'!X:AB),
    AVERAGE(_xlpm.vals) * 8  * $V$3
)</f>
        <v>14.886856722413759</v>
      </c>
      <c r="G22" s="27" cm="1">
        <f t="array" aca="1" ref="G22" ca="1">_xlfn.LET(
    _xlpm.vals, _xlfn.XLOOKUP(B22, 'ISE Average'!B:B, 'ISE Average'!AE:AI),
    AVERAGE(_xlpm.vals) * 8  * $V$3
)</f>
        <v>15.230880722301471</v>
      </c>
      <c r="H22" s="27" cm="1">
        <f t="array" aca="1" ref="H22" ca="1">_xlfn.LET(
    _xlpm.vals, _xlfn.XLOOKUP(B22, 'ISE Average'!B:B, 'ISE Average'!AL:AP),
    AVERAGE(_xlpm.vals) * 8  * $V$3
)</f>
        <v>13.3856610865401</v>
      </c>
      <c r="I22" s="27" cm="1">
        <f t="array" aca="1" ref="I22" ca="1">_xlfn.LET(
    _xlpm.vals, _xlfn.XLOOKUP(B22, 'ISE Average'!B:B, 'ISE Average'!AS:AW),
    AVERAGE(_xlpm.vals) * 8  * $V$3
)</f>
        <v>9.4606599969121064</v>
      </c>
      <c r="J22" s="24" t="s">
        <v>328</v>
      </c>
      <c r="L22" s="29">
        <f ca="1">ROUNDUP(C22+D22+E22,0)</f>
        <v>34</v>
      </c>
      <c r="M22" s="29">
        <f t="shared" ref="M22:P22" ca="1" si="22">ROUNDUP(D22+E22+F22,0)</f>
        <v>38</v>
      </c>
      <c r="N22" s="29">
        <f t="shared" ca="1" si="22"/>
        <v>42</v>
      </c>
      <c r="O22" s="29">
        <f t="shared" ca="1" si="22"/>
        <v>44</v>
      </c>
      <c r="P22" s="29">
        <f t="shared" ca="1" si="22"/>
        <v>39</v>
      </c>
      <c r="Q22" s="29">
        <f ca="1">ROUNDUP(H22+I22+C22,0)</f>
        <v>34</v>
      </c>
      <c r="R22" s="29">
        <f ca="1">ROUNDUP(I22+C22+D22,0)</f>
        <v>32</v>
      </c>
      <c r="T22" s="32" t="s">
        <v>326</v>
      </c>
    </row>
    <row r="89" spans="14:15">
      <c r="N89" s="26"/>
      <c r="O89" s="26"/>
    </row>
    <row r="91" spans="14:15">
      <c r="N91" s="26"/>
      <c r="O91" s="26"/>
    </row>
    <row r="92" spans="14:15">
      <c r="N92" s="26"/>
      <c r="O92" s="26"/>
    </row>
    <row r="93" spans="14:15">
      <c r="N93" s="26"/>
      <c r="O93" s="26"/>
    </row>
    <row r="94" spans="14:15">
      <c r="N94" s="26"/>
      <c r="O94" s="26"/>
    </row>
    <row r="95" spans="14:15">
      <c r="N95" s="26"/>
      <c r="O95" s="26"/>
    </row>
  </sheetData>
  <mergeCells count="7">
    <mergeCell ref="A7:A15"/>
    <mergeCell ref="A16:A22"/>
    <mergeCell ref="B1:J1"/>
    <mergeCell ref="L1:R1"/>
    <mergeCell ref="V2:W2"/>
    <mergeCell ref="V3:W3"/>
    <mergeCell ref="A3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C488-6E97-4593-95B3-22859600F612}">
  <sheetPr>
    <tabColor theme="1" tint="0.499984740745262"/>
  </sheetPr>
  <dimension ref="A1:M51"/>
  <sheetViews>
    <sheetView showGridLines="0" zoomScale="95" workbookViewId="0">
      <selection activeCell="H5" sqref="H5"/>
    </sheetView>
  </sheetViews>
  <sheetFormatPr defaultRowHeight="16.5" customHeight="1"/>
  <cols>
    <col min="2" max="13" width="10.7109375" style="15" customWidth="1"/>
  </cols>
  <sheetData>
    <row r="1" spans="1:13" ht="14.25" customHeight="1">
      <c r="B1"/>
      <c r="C1"/>
      <c r="D1"/>
      <c r="E1"/>
      <c r="F1"/>
      <c r="G1"/>
      <c r="H1"/>
      <c r="I1"/>
      <c r="J1"/>
      <c r="K1"/>
      <c r="L1"/>
      <c r="M1"/>
    </row>
    <row r="2" spans="1:13" ht="29.1" customHeight="1">
      <c r="B2" s="95" t="s">
        <v>329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 ht="14.45" customHeight="1">
      <c r="B3" s="96" t="s">
        <v>330</v>
      </c>
      <c r="C3" s="96"/>
      <c r="D3" s="96"/>
      <c r="E3" s="96"/>
      <c r="F3" s="96"/>
      <c r="G3" s="96"/>
      <c r="H3" s="96" t="s">
        <v>331</v>
      </c>
      <c r="I3" s="96"/>
      <c r="J3" s="96"/>
      <c r="K3" s="96"/>
      <c r="L3" s="96"/>
      <c r="M3" s="96"/>
    </row>
    <row r="4" spans="1:13" ht="15.95" customHeight="1">
      <c r="B4" s="97">
        <f ca="1">_xlfn.XLOOKUP(TEXT(NOW()+TIME(12,0,0),"dddd"),'Weekly Forecast'!D1:J1,'Weekly Forecast'!D2:J2)</f>
        <v>5292</v>
      </c>
      <c r="C4" s="97"/>
      <c r="D4" s="97"/>
      <c r="E4" s="97"/>
      <c r="F4" s="97"/>
      <c r="G4" s="97"/>
      <c r="H4" s="98" t="str">
        <f ca="1">TEXT(NOW()+TIME(12,0,0),"dddd")</f>
        <v>Thursday</v>
      </c>
      <c r="I4" s="98"/>
      <c r="J4" s="98"/>
      <c r="K4" s="99">
        <f ca="1">NOW()+TIME(12,0,0)</f>
        <v>46226.314456134256</v>
      </c>
      <c r="L4" s="99"/>
      <c r="M4" s="99"/>
    </row>
    <row r="5" spans="1:13" ht="3.75" customHeight="1"/>
    <row r="6" spans="1:13" ht="15.6" customHeight="1">
      <c r="B6" s="102" t="s">
        <v>332</v>
      </c>
      <c r="C6" s="102"/>
      <c r="D6" s="150"/>
      <c r="E6" s="102"/>
      <c r="F6" s="102"/>
      <c r="G6" s="102"/>
      <c r="H6" s="102"/>
      <c r="I6" s="102"/>
      <c r="J6" s="102"/>
      <c r="K6" s="102"/>
      <c r="L6" s="102"/>
      <c r="M6" s="102"/>
    </row>
    <row r="7" spans="1:13" ht="15.6" hidden="1" customHeight="1">
      <c r="B7" s="159"/>
      <c r="C7" s="159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ht="15">
      <c r="B8" s="149" t="s">
        <v>333</v>
      </c>
      <c r="C8" s="149"/>
      <c r="D8" s="96" t="s">
        <v>297</v>
      </c>
      <c r="E8" s="96"/>
      <c r="F8" s="96" t="s">
        <v>299</v>
      </c>
      <c r="G8" s="96"/>
      <c r="H8" s="96" t="s">
        <v>301</v>
      </c>
      <c r="I8" s="96"/>
      <c r="J8" s="96" t="s">
        <v>302</v>
      </c>
      <c r="K8" s="96"/>
      <c r="L8" s="96" t="s">
        <v>304</v>
      </c>
      <c r="M8" s="96"/>
    </row>
    <row r="9" spans="1:13" ht="15" customHeight="1">
      <c r="A9" s="14"/>
      <c r="B9" s="102" t="s">
        <v>334</v>
      </c>
      <c r="C9" s="102"/>
      <c r="D9" s="106" cm="1">
        <f t="array" aca="1" ref="D9" ca="1">ROUNDUP(_xlfn.XLOOKUP(
    1,
    (ProductBlockSales[Item]="MEAT BEEF COOKED ")*
    (ProductBlockSales[Cook Block]=D$8),
    INDEX(ProductBlockSales[[Monday]:[Sunday]], , MATCH($H$4, 'Product Block Sales'!$C$1:$I$1, 0))
),0)</f>
        <v>2</v>
      </c>
      <c r="E9" s="109"/>
      <c r="F9" s="109" cm="1">
        <f t="array" aca="1" ref="F9" ca="1">ROUNDUP(_xlfn.XLOOKUP(
    1,
    (ProductBlockSales[Item]="MEAT BEEF COOKED ")*
    (ProductBlockSales[Cook Block]=F$8),
    INDEX(ProductBlockSales[[Monday]:[Sunday]], , MATCH($H$4, 'Product Block Sales'!$C$1:$I$1, 0))
),0)</f>
        <v>4</v>
      </c>
      <c r="G9" s="109"/>
      <c r="H9" s="109" cm="1">
        <f t="array" aca="1" ref="H9" ca="1">ROUNDUP(_xlfn.XLOOKUP(
    1,
    (ProductBlockSales[Item]="MEAT BEEF COOKED ")*
    (ProductBlockSales[Cook Block]=H$8),
    INDEX(ProductBlockSales[[Monday]:[Sunday]], , MATCH($H$4, 'Product Block Sales'!$C$1:$I$1, 0))
),0)</f>
        <v>4</v>
      </c>
      <c r="I9" s="109"/>
      <c r="J9" s="109" cm="1">
        <f t="array" aca="1" ref="J9" ca="1">ROUNDUP(_xlfn.XLOOKUP(
    1,
    (ProductBlockSales[Item]="MEAT BEEF COOKED ")*
    (ProductBlockSales[Cook Block]=J$8),
    INDEX(ProductBlockSales[[Monday]:[Sunday]], , MATCH($H$4, 'Product Block Sales'!$C$1:$I$1, 0))
),0)</f>
        <v>6</v>
      </c>
      <c r="K9" s="109"/>
      <c r="L9" s="109" cm="1">
        <f t="array" aca="1" ref="L9" ca="1">ROUNDUP(_xlfn.XLOOKUP(
    1,
    (ProductBlockSales[Item]="MEAT BEEF COOKED ")*
    (ProductBlockSales[Cook Block]=L$8),
    INDEX(ProductBlockSales[[Monday]:[Sunday]], , MATCH($H$4, 'Product Block Sales'!$C$1:$I$1, 0))
),0)</f>
        <v>2</v>
      </c>
      <c r="M9" s="109"/>
    </row>
    <row r="10" spans="1:13" ht="15" customHeight="1">
      <c r="B10" s="102" t="s">
        <v>335</v>
      </c>
      <c r="C10" s="102"/>
      <c r="D10" s="106" cm="1">
        <f t="array" aca="1" ref="D10" ca="1">ROUNDUP(_xlfn.XLOOKUP(
    1,
    (ProductBlockSales[Item]="MEAT CHICKEN COOKED")*
    (ProductBlockSales[Cook Block]=D$8),
    INDEX(ProductBlockSales[[Monday]:[Sunday]], , MATCH($H$4, 'Product Block Sales'!$C$1:$I$1, 0))
),0)</f>
        <v>2</v>
      </c>
      <c r="E10" s="109"/>
      <c r="F10" s="109" cm="1">
        <f t="array" aca="1" ref="F10" ca="1">ROUNDUP(_xlfn.XLOOKUP(
    1,
    (ProductBlockSales[Item]="MEAT CHICKEN COOKED")*
    (ProductBlockSales[Cook Block]=F$8),
    INDEX(ProductBlockSales[[Monday]:[Sunday]], , MATCH($H$4, 'Product Block Sales'!$C$1:$I$1, 0))
),0)</f>
        <v>5</v>
      </c>
      <c r="G10" s="109"/>
      <c r="H10" s="109" cm="1">
        <f t="array" aca="1" ref="H10" ca="1">ROUNDUP(_xlfn.XLOOKUP(
    1,
    (ProductBlockSales[Item]="MEAT CHICKEN COOKED")*
    (ProductBlockSales[Cook Block]=H$8),
    INDEX(ProductBlockSales[[Monday]:[Sunday]], , MATCH($H$4, 'Product Block Sales'!$C$1:$I$1, 0))
),0)</f>
        <v>5</v>
      </c>
      <c r="I10" s="109"/>
      <c r="J10" s="109" cm="1">
        <f t="array" aca="1" ref="J10" ca="1">ROUNDUP(_xlfn.XLOOKUP(
    1,
    (ProductBlockSales[Item]="MEAT CHICKEN COOKED")*
    (ProductBlockSales[Cook Block]=J$8),
    INDEX(ProductBlockSales[[Monday]:[Sunday]], , MATCH($H$4, 'Product Block Sales'!$C$1:$I$1, 0))
),0)</f>
        <v>8</v>
      </c>
      <c r="K10" s="109"/>
      <c r="L10" s="109" cm="1">
        <f t="array" aca="1" ref="L10" ca="1">ROUNDUP(_xlfn.XLOOKUP(
    1,
    (ProductBlockSales[Item]="MEAT CHICKEN COOKED")*
    (ProductBlockSales[Cook Block]=L$8),
    INDEX(ProductBlockSales[[Monday]:[Sunday]], , MATCH($H$4, 'Product Block Sales'!$C$1:$I$1, 0))
),0)</f>
        <v>3</v>
      </c>
      <c r="M10" s="109"/>
    </row>
    <row r="11" spans="1:13">
      <c r="B11" s="102" t="s">
        <v>336</v>
      </c>
      <c r="C11" s="102"/>
      <c r="D11" s="106" cm="1">
        <f t="array" aca="1" ref="D11" ca="1">ROUNDUP(_xlfn.XLOOKUP(
    1,
    (ProductBlockSales[Item]="BEANS BLACK COOKED")*
    (ProductBlockSales[Cook Block]=D$8),
    INDEX(ProductBlockSales[[Monday]:[Sunday]], , MATCH($H$4, 'Product Block Sales'!$C$1:$I$1, 0))
),0)</f>
        <v>1</v>
      </c>
      <c r="E11" s="109"/>
      <c r="F11" s="109" cm="1">
        <f t="array" aca="1" ref="F11" ca="1">ROUNDUP(_xlfn.XLOOKUP(
    1,
    (ProductBlockSales[Item]="BEANS BLACK COOKED")*
    (ProductBlockSales[Cook Block]=F$8),
    INDEX(ProductBlockSales[[Monday]:[Sunday]], , MATCH($H$4, 'Product Block Sales'!$C$1:$I$1, 0))
),0)</f>
        <v>3</v>
      </c>
      <c r="G11" s="109"/>
      <c r="H11" s="109" cm="1">
        <f t="array" aca="1" ref="H11" ca="1">ROUNDUP(_xlfn.XLOOKUP(
    1,
    (ProductBlockSales[Item]="BEANS BLACK COOKED")*
    (ProductBlockSales[Cook Block]=H$8),
    INDEX(ProductBlockSales[[Monday]:[Sunday]], , MATCH($H$4, 'Product Block Sales'!$C$1:$I$1, 0))
),0)</f>
        <v>3</v>
      </c>
      <c r="I11" s="109"/>
      <c r="J11" s="109" cm="1">
        <f t="array" aca="1" ref="J11" ca="1">ROUNDUP(_xlfn.XLOOKUP(
    1,
    (ProductBlockSales[Item]="BEANS BLACK COOKED")*
    (ProductBlockSales[Cook Block]=J$8),
    INDEX(ProductBlockSales[[Monday]:[Sunday]], , MATCH($H$4, 'Product Block Sales'!$C$1:$I$1, 0))
),0)</f>
        <v>4</v>
      </c>
      <c r="K11" s="109"/>
      <c r="L11" s="109" cm="1">
        <f t="array" aca="1" ref="L11" ca="1">ROUNDUP(_xlfn.XLOOKUP(
    1,
    (ProductBlockSales[Item]="BEANS BLACK COOKED")*
    (ProductBlockSales[Cook Block]=L$8),
    INDEX(ProductBlockSales[[Monday]:[Sunday]], , MATCH($H$4, 'Product Block Sales'!$C$1:$I$1, 0))
),0)</f>
        <v>2</v>
      </c>
      <c r="M11" s="109"/>
    </row>
    <row r="12" spans="1:13">
      <c r="B12" s="102" t="s">
        <v>337</v>
      </c>
      <c r="C12" s="102"/>
      <c r="D12" s="106" cm="1">
        <f t="array" aca="1" ref="D12" ca="1">ROUNDUP(_xlfn.XLOOKUP(
    1,
    (ProductBlockSales[Item]="SAUCE NACHO CHEESE")*
    (ProductBlockSales[Cook Block]=D$8),
    INDEX(ProductBlockSales[[Monday]:[Sunday]], , MATCH($H$4, 'Product Block Sales'!$C$1:$I$1, 0))
),0)</f>
        <v>1</v>
      </c>
      <c r="E12" s="109"/>
      <c r="F12" s="109" cm="1">
        <f t="array" aca="1" ref="F12" ca="1">ROUNDUP(_xlfn.XLOOKUP(
    1,
    (ProductBlockSales[Item]="SAUCE NACHO CHEESE")*
    (ProductBlockSales[Cook Block]=F$8),
    INDEX(ProductBlockSales[[Monday]:[Sunday]], , MATCH($H$4, 'Product Block Sales'!$C$1:$I$1, 0))
),0)</f>
        <v>2</v>
      </c>
      <c r="G12" s="109"/>
      <c r="H12" s="109" cm="1">
        <f t="array" aca="1" ref="H12" ca="1">ROUNDUP(_xlfn.XLOOKUP(
    1,
    (ProductBlockSales[Item]="SAUCE NACHO CHEESE")*
    (ProductBlockSales[Cook Block]=H$8),
    INDEX(ProductBlockSales[[Monday]:[Sunday]], , MATCH($H$4, 'Product Block Sales'!$C$1:$I$1, 0))
),0)</f>
        <v>2</v>
      </c>
      <c r="I12" s="109"/>
      <c r="J12" s="109" cm="1">
        <f t="array" aca="1" ref="J12" ca="1">ROUNDUP(_xlfn.XLOOKUP(
    1,
    (ProductBlockSales[Item]="SAUCE NACHO CHEESE")*
    (ProductBlockSales[Cook Block]=J$8),
    INDEX(ProductBlockSales[[Monday]:[Sunday]], , MATCH($H$4, 'Product Block Sales'!$C$1:$I$1, 0))
),0)</f>
        <v>3</v>
      </c>
      <c r="K12" s="109"/>
      <c r="L12" s="109" cm="1">
        <f t="array" aca="1" ref="L12" ca="1">ROUNDUP(_xlfn.XLOOKUP(
    1,
    (ProductBlockSales[Item]="SAUCE NACHO CHEESE")*
    (ProductBlockSales[Cook Block]=L$8),
    INDEX(ProductBlockSales[[Monday]:[Sunday]], , MATCH($H$4, 'Product Block Sales'!$C$1:$I$1, 0))
),0)</f>
        <v>1</v>
      </c>
      <c r="M12" s="109"/>
    </row>
    <row r="13" spans="1:13">
      <c r="B13" s="102" t="s">
        <v>338</v>
      </c>
      <c r="C13" s="102"/>
      <c r="D13" s="144" t="str" cm="1">
        <f t="array" aca="1" ref="D13" ca="1">_xlfn.LET(
    _xlpm.qty, ROUNDUP(
            _xlfn.XLOOKUP(
                1,
                (ProductBlockSales[Item]="TB MEXICAN RICE (FINISHED PRODUCT)") *
                (ProductBlockSales[Cook Block]=D$8),
                INDEX(ProductBlockSales[[Monday]:[Sunday]],
                      , MATCH($H$4, 'Product Block Sales'!$C$1:$I$1, 0)
                )
            ), 0
        ),
    IF(_xlpm.qty&gt;1, _xlpm.qty &amp; " PANS", _xlpm.qty &amp; " PAN")
)</f>
        <v>1 PAN</v>
      </c>
      <c r="E13" s="109"/>
      <c r="F13" s="109" t="str" cm="1">
        <f t="array" aca="1" ref="F13" ca="1">_xlfn.LET(
    _xlpm.qty, ROUNDUP(
            _xlfn.XLOOKUP(
                1,
                (ProductBlockSales[Item]="TB MEXICAN RICE (FINISHED PRODUCT)") *
                (ProductBlockSales[Cook Block]=F$8),
                INDEX(ProductBlockSales[[Monday]:[Sunday]],
                      , MATCH($H$4, 'Product Block Sales'!$C$1:$I$1, 0)
                )
            ), 0
        ),
    IF(_xlpm.qty&gt;1, _xlpm.qty &amp; " PANS", _xlpm.qty &amp; " PAN")
)</f>
        <v>2 PANS</v>
      </c>
      <c r="G13" s="109"/>
      <c r="H13" s="109" t="str" cm="1">
        <f t="array" aca="1" ref="H13" ca="1">_xlfn.LET(
    _xlpm.qty, ROUNDUP(
            _xlfn.XLOOKUP(
                1,
                (ProductBlockSales[Item]="TB MEXICAN RICE (FINISHED PRODUCT)") *
                (ProductBlockSales[Cook Block]=H$8),
                INDEX(ProductBlockSales[[Monday]:[Sunday]],
                      , MATCH($H$4, 'Product Block Sales'!$C$1:$I$1, 0)
                )
            ), 0
        ),
    IF(_xlpm.qty&gt;1, _xlpm.qty &amp; " PANS", _xlpm.qty &amp; " PAN")
)</f>
        <v>2 PANS</v>
      </c>
      <c r="I13" s="109"/>
      <c r="J13" s="109" t="str" cm="1">
        <f t="array" aca="1" ref="J13" ca="1">_xlfn.LET(
    _xlpm.qty, ROUNDUP(
            _xlfn.XLOOKUP(
                1,
                (ProductBlockSales[Item]="TB MEXICAN RICE (FINISHED PRODUCT)") *
                (ProductBlockSales[Cook Block]=J$8),
                INDEX(ProductBlockSales[[Monday]:[Sunday]],
                      , MATCH($H$4, 'Product Block Sales'!$C$1:$I$1, 0)
                )
            ), 0
        ),
    IF(_xlpm.qty&gt;1, _xlpm.qty &amp; " PANS", _xlpm.qty &amp; " PAN")
)</f>
        <v>3 PANS</v>
      </c>
      <c r="K13" s="109"/>
      <c r="L13" s="109" t="str" cm="1">
        <f t="array" aca="1" ref="L13" ca="1">_xlfn.LET(
    _xlpm.qty, ROUNDUP(
            _xlfn.XLOOKUP(
                1,
                (ProductBlockSales[Item]="TB MEXICAN RICE (FINISHED PRODUCT)") *
                (ProductBlockSales[Cook Block]=L$8),
                INDEX(ProductBlockSales[[Monday]:[Sunday]],
                      , MATCH($H$4, 'Product Block Sales'!$C$1:$I$1, 0)
                )
            ), 0
        ),
    IF(_xlpm.qty&gt;1, _xlpm.qty &amp; " PANS", _xlpm.qty &amp; " PAN")
)</f>
        <v>1 PAN</v>
      </c>
      <c r="M13" s="109"/>
    </row>
    <row r="14" spans="1:13" ht="3.75" customHeight="1"/>
    <row r="15" spans="1:13" ht="16.5" customHeight="1">
      <c r="B15" s="114" t="s">
        <v>339</v>
      </c>
      <c r="C15" s="114"/>
      <c r="D15" s="115"/>
      <c r="E15" s="115"/>
      <c r="F15" s="114" t="s">
        <v>340</v>
      </c>
      <c r="G15" s="114"/>
      <c r="H15" s="114"/>
      <c r="I15" s="114"/>
      <c r="J15" s="114" t="s">
        <v>341</v>
      </c>
      <c r="K15" s="114"/>
      <c r="L15" s="114"/>
      <c r="M15" s="114"/>
    </row>
    <row r="16" spans="1:13" ht="15" customHeight="1">
      <c r="B16" s="142" t="s">
        <v>156</v>
      </c>
      <c r="C16" s="143"/>
      <c r="D16" s="110" t="str" cm="1">
        <f t="array" aca="1" ref="D16" ca="1">ROUNDUP(_xlfn.XLOOKUP(B16,'Prep Simplified'!$B$3:$B$22,INDEX('Prep Simplified'!$L$3:$R$22,,MATCH($H$4,'Prep Simplified'!$L$2:$R$2,0))),0)&amp;" PANS"</f>
        <v>4 PANS</v>
      </c>
      <c r="E16" s="111"/>
      <c r="F16" s="100" t="s">
        <v>161</v>
      </c>
      <c r="G16" s="101"/>
      <c r="H16" s="110" t="str" cm="1">
        <f t="array" aca="1" ref="H16" ca="1">ROUNDUP(_xlfn.XLOOKUP(F16,'Prep Simplified'!$B$3:$B$22,INDEX('Prep Simplified'!$L$3:$R$22,,MATCH($H$4,'Prep Simplified'!$L$2:$R$2,0))),0)&amp;" TRAYS"</f>
        <v>5 TRAYS</v>
      </c>
      <c r="I16" s="111"/>
      <c r="J16" s="156" t="s">
        <v>169</v>
      </c>
      <c r="K16" s="157"/>
      <c r="L16" s="110" t="str" cm="1">
        <f t="array" aca="1" ref="L16" ca="1">ROUNDUP(_xlfn.XLOOKUP(J16,'Prep Simplified'!$B$3:$B$22,INDEX('Prep Simplified'!$L$3:$R$22,,MATCH($H$4,'Prep Simplified'!$L$2:$R$2,0))),0)&amp;" BOXES"</f>
        <v>4 BOXES</v>
      </c>
      <c r="M16" s="111"/>
    </row>
    <row r="17" spans="2:13" ht="14.45" customHeight="1">
      <c r="B17" s="142" t="s">
        <v>158</v>
      </c>
      <c r="C17" s="143"/>
      <c r="D17" s="110" t="str" cm="1">
        <f t="array" aca="1" ref="D17" ca="1">ROUNDUP(_xlfn.XLOOKUP(B17,'Prep Simplified'!$B$3:$B$22,INDEX('Prep Simplified'!$L$3:$R$22,,MATCH($H$4,'Prep Simplified'!$L$2:$R$2,0))),0)&amp;" PANS"</f>
        <v>3 PANS</v>
      </c>
      <c r="E17" s="111"/>
      <c r="F17" s="100" t="s">
        <v>163</v>
      </c>
      <c r="G17" s="101"/>
      <c r="H17" s="110" t="str" cm="1">
        <f t="array" aca="1" ref="H17" ca="1">ROUNDUP(_xlfn.XLOOKUP(F17,'Prep Simplified'!$B$3:$B$22,INDEX('Prep Simplified'!$L$3:$R$22,,MATCH($H$4,'Prep Simplified'!$L$2:$R$2,0))),0)&amp;" TRAYS"</f>
        <v>3 TRAYS</v>
      </c>
      <c r="I17" s="111"/>
      <c r="J17" s="145" t="s">
        <v>167</v>
      </c>
      <c r="K17" s="146"/>
      <c r="L17" s="110" t="str" cm="1">
        <f t="array" aca="1" ref="L17" ca="1">ROUNDUP(_xlfn.XLOOKUP(J17,'Prep Simplified'!$B$3:$B$22,INDEX('Prep Simplified'!$L$3:$R$22,,MATCH($H$4,'Prep Simplified'!$L$2:$R$2,0))),0)&amp;" BOXES"</f>
        <v>4 BOXES</v>
      </c>
      <c r="M17" s="111"/>
    </row>
    <row r="18" spans="2:13" ht="16.5" hidden="1" customHeight="1">
      <c r="B18" s="100" t="s">
        <v>338</v>
      </c>
      <c r="C18" s="101"/>
      <c r="D18" s="110" t="e" cm="1">
        <f t="array" aca="1" ref="D18" ca="1">ROUNDUP(_xlfn.XLOOKUP(B18,'Prep Simplified'!$B$3:$B$22,INDEX('Prep Simplified'!$L$3:$R$22,,MATCH($H$4,'Prep Simplified'!$L$2:$R$2,0))),0)&amp;" PANS"</f>
        <v>#N/A</v>
      </c>
      <c r="E18" s="111"/>
      <c r="F18" s="112" t="s">
        <v>342</v>
      </c>
      <c r="G18" s="112"/>
      <c r="H18" s="110" t="e" cm="1">
        <f t="array" aca="1" ref="H18" ca="1">ROUNDUP(_xlfn.XLOOKUP(F18,'Prep Simplified'!$B$3:$B$22,INDEX('Prep Simplified'!$L$3:$R$22,,MATCH($H$4,'Prep Simplified'!$L$2:$R$2,0))),0)&amp;" TRAYS"</f>
        <v>#N/A</v>
      </c>
      <c r="I18" s="111"/>
      <c r="J18" s="145" t="s">
        <v>343</v>
      </c>
      <c r="K18" s="146"/>
      <c r="L18" s="110" t="e" cm="1">
        <f t="array" aca="1" ref="L18" ca="1">ROUNDUP(_xlfn.XLOOKUP(J18,'Prep Simplified'!$B$3:$B$22,INDEX('Prep Simplified'!$L$3:$R$22,,MATCH($H$4,'Prep Simplified'!$L$2:$R$2,0))),0)&amp;" BOXES"</f>
        <v>#N/A</v>
      </c>
      <c r="M18" s="111"/>
    </row>
    <row r="19" spans="2:13" ht="16.5" hidden="1" customHeight="1">
      <c r="B19" s="100" t="s">
        <v>338</v>
      </c>
      <c r="C19" s="101"/>
      <c r="D19" s="110" t="e" cm="1">
        <f t="array" aca="1" ref="D19" ca="1">ROUNDUP(_xlfn.XLOOKUP(B19,'Prep Simplified'!$B$3:$B$22,INDEX('Prep Simplified'!$L$3:$R$22,,MATCH($H$4,'Prep Simplified'!$L$2:$R$2,0))),0)&amp;" PANS"</f>
        <v>#N/A</v>
      </c>
      <c r="E19" s="111"/>
      <c r="F19" s="112" t="s">
        <v>342</v>
      </c>
      <c r="G19" s="112"/>
      <c r="H19" s="110" t="e" cm="1">
        <f t="array" aca="1" ref="H19" ca="1">ROUNDUP(_xlfn.XLOOKUP(F19,'Prep Simplified'!$B$3:$B$22,INDEX('Prep Simplified'!$L$3:$R$22,,MATCH($H$4,'Prep Simplified'!$L$2:$R$2,0))),0)&amp;" TRAYS"</f>
        <v>#N/A</v>
      </c>
      <c r="I19" s="111"/>
      <c r="J19" s="145" t="s">
        <v>327</v>
      </c>
      <c r="K19" s="146"/>
      <c r="L19" s="110" t="str" cm="1">
        <f t="array" aca="1" ref="L19" ca="1">ROUNDUP(_xlfn.XLOOKUP(J19,'Prep Simplified'!$B$3:$B$22,INDEX('Prep Simplified'!$L$3:$R$22,,MATCH($H$4,'Prep Simplified'!$L$2:$R$2,0))),0)&amp;" BOXES"</f>
        <v>3 BOXES</v>
      </c>
      <c r="M19" s="111"/>
    </row>
    <row r="20" spans="2:13" ht="16.5" hidden="1" customHeight="1">
      <c r="B20" s="100" t="s">
        <v>338</v>
      </c>
      <c r="C20" s="101"/>
      <c r="D20" s="110" t="e" cm="1">
        <f t="array" aca="1" ref="D20" ca="1">ROUNDUP(_xlfn.XLOOKUP(B20,'Prep Simplified'!$B$3:$B$22,INDEX('Prep Simplified'!$L$3:$R$22,,MATCH($H$4,'Prep Simplified'!$L$2:$R$2,0))),0)&amp;" PANS"</f>
        <v>#N/A</v>
      </c>
      <c r="E20" s="111"/>
      <c r="F20" s="112" t="s">
        <v>342</v>
      </c>
      <c r="G20" s="112"/>
      <c r="H20" s="110" t="e" cm="1">
        <f t="array" aca="1" ref="H20" ca="1">ROUNDUP(_xlfn.XLOOKUP(F20,'Prep Simplified'!$B$3:$B$22,INDEX('Prep Simplified'!$L$3:$R$22,,MATCH($H$4,'Prep Simplified'!$L$2:$R$2,0))),0)&amp;" TRAYS"</f>
        <v>#N/A</v>
      </c>
      <c r="I20" s="111"/>
      <c r="J20" s="145" t="s">
        <v>344</v>
      </c>
      <c r="K20" s="146"/>
      <c r="L20" s="110" t="e" cm="1">
        <f t="array" aca="1" ref="L20" ca="1">ROUNDUP(_xlfn.XLOOKUP(J20,'Prep Simplified'!$B$3:$B$22,INDEX('Prep Simplified'!$L$3:$R$22,,MATCH($H$4,'Prep Simplified'!$L$2:$R$2,0))),0)&amp;" BOXES"</f>
        <v>#N/A</v>
      </c>
      <c r="M20" s="111"/>
    </row>
    <row r="21" spans="2:13" ht="16.5" hidden="1" customHeight="1">
      <c r="B21" s="100" t="s">
        <v>338</v>
      </c>
      <c r="C21" s="101"/>
      <c r="D21" s="110" t="e" cm="1">
        <f t="array" aca="1" ref="D21" ca="1">ROUNDUP(_xlfn.XLOOKUP(B21,'Prep Simplified'!$B$3:$B$22,INDEX('Prep Simplified'!$L$3:$R$22,,MATCH($H$4,'Prep Simplified'!$L$2:$R$2,0))),0)&amp;" PANS"</f>
        <v>#N/A</v>
      </c>
      <c r="E21" s="111"/>
      <c r="F21" s="112" t="s">
        <v>342</v>
      </c>
      <c r="G21" s="112"/>
      <c r="H21" s="110" t="e" cm="1">
        <f t="array" aca="1" ref="H21" ca="1">ROUNDUP(_xlfn.XLOOKUP(F21,'Prep Simplified'!$B$3:$B$22,INDEX('Prep Simplified'!$L$3:$R$22,,MATCH($H$4,'Prep Simplified'!$L$2:$R$2,0))),0)&amp;" TRAYS"</f>
        <v>#N/A</v>
      </c>
      <c r="I21" s="111"/>
      <c r="J21" s="145" t="s">
        <v>345</v>
      </c>
      <c r="K21" s="146"/>
      <c r="L21" s="110" t="e" cm="1">
        <f t="array" aca="1" ref="L21" ca="1">ROUNDUP(_xlfn.XLOOKUP(J21,'Prep Simplified'!$B$3:$B$22,INDEX('Prep Simplified'!$L$3:$R$22,,MATCH($H$4,'Prep Simplified'!$L$2:$R$2,0))),0)&amp;" BOXES"</f>
        <v>#N/A</v>
      </c>
      <c r="M21" s="111"/>
    </row>
    <row r="22" spans="2:13" ht="16.5" hidden="1" customHeight="1">
      <c r="B22" s="100" t="s">
        <v>338</v>
      </c>
      <c r="C22" s="101"/>
      <c r="D22" s="110" t="e" cm="1">
        <f t="array" aca="1" ref="D22" ca="1">ROUNDUP(_xlfn.XLOOKUP(B22,'Prep Simplified'!$B$3:$B$22,INDEX('Prep Simplified'!$L$3:$R$22,,MATCH($H$4,'Prep Simplified'!$L$2:$R$2,0))),0)&amp;" PANS"</f>
        <v>#N/A</v>
      </c>
      <c r="E22" s="111"/>
      <c r="F22" s="112" t="s">
        <v>342</v>
      </c>
      <c r="G22" s="112"/>
      <c r="H22" s="110" t="e" cm="1">
        <f t="array" aca="1" ref="H22" ca="1">ROUNDUP(_xlfn.XLOOKUP(F22,'Prep Simplified'!$B$3:$B$22,INDEX('Prep Simplified'!$L$3:$R$22,,MATCH($H$4,'Prep Simplified'!$L$2:$R$2,0))),0)&amp;" TRAYS"</f>
        <v>#N/A</v>
      </c>
      <c r="I22" s="111"/>
      <c r="J22" s="145" t="s">
        <v>334</v>
      </c>
      <c r="K22" s="146"/>
      <c r="L22" s="110" t="e" cm="1">
        <f t="array" aca="1" ref="L22" ca="1">ROUNDUP(_xlfn.XLOOKUP(J22,'Prep Simplified'!$B$3:$B$22,INDEX('Prep Simplified'!$L$3:$R$22,,MATCH($H$4,'Prep Simplified'!$L$2:$R$2,0))),0)&amp;" BOXES"</f>
        <v>#N/A</v>
      </c>
      <c r="M22" s="111"/>
    </row>
    <row r="23" spans="2:13" ht="16.5" hidden="1" customHeight="1">
      <c r="B23" s="100" t="s">
        <v>338</v>
      </c>
      <c r="C23" s="101"/>
      <c r="D23" s="110" t="e" cm="1">
        <f t="array" aca="1" ref="D23" ca="1">ROUNDUP(_xlfn.XLOOKUP(B23,'Prep Simplified'!$B$3:$B$22,INDEX('Prep Simplified'!$L$3:$R$22,,MATCH($H$4,'Prep Simplified'!$L$2:$R$2,0))),0)&amp;" PANS"</f>
        <v>#N/A</v>
      </c>
      <c r="E23" s="111"/>
      <c r="F23" s="112" t="s">
        <v>342</v>
      </c>
      <c r="G23" s="112"/>
      <c r="H23" s="110" t="e" cm="1">
        <f t="array" aca="1" ref="H23" ca="1">ROUNDUP(_xlfn.XLOOKUP(F23,'Prep Simplified'!$B$3:$B$22,INDEX('Prep Simplified'!$L$3:$R$22,,MATCH($H$4,'Prep Simplified'!$L$2:$R$2,0))),0)&amp;" TRAYS"</f>
        <v>#N/A</v>
      </c>
      <c r="I23" s="111"/>
      <c r="J23" s="147" t="s">
        <v>342</v>
      </c>
      <c r="K23" s="148"/>
      <c r="L23" s="110" t="e" cm="1">
        <f t="array" aca="1" ref="L23" ca="1">ROUNDUP(_xlfn.XLOOKUP(J23,'Prep Simplified'!$B$3:$B$22,INDEX('Prep Simplified'!$L$3:$R$22,,MATCH($H$4,'Prep Simplified'!$L$2:$R$2,0))),0)&amp;" BOXES"</f>
        <v>#N/A</v>
      </c>
      <c r="M23" s="111"/>
    </row>
    <row r="24" spans="2:13" ht="16.5" hidden="1" customHeight="1">
      <c r="B24" s="100" t="s">
        <v>338</v>
      </c>
      <c r="C24" s="101"/>
      <c r="D24" s="110" t="e" cm="1">
        <f t="array" aca="1" ref="D24" ca="1">ROUNDUP(_xlfn.XLOOKUP(B24,'Prep Simplified'!$B$3:$B$22,INDEX('Prep Simplified'!$L$3:$R$22,,MATCH($H$4,'Prep Simplified'!$L$2:$R$2,0))),0)&amp;" PANS"</f>
        <v>#N/A</v>
      </c>
      <c r="E24" s="111"/>
      <c r="F24" s="112" t="s">
        <v>342</v>
      </c>
      <c r="G24" s="112"/>
      <c r="H24" s="110" t="e" cm="1">
        <f t="array" aca="1" ref="H24" ca="1">ROUNDUP(_xlfn.XLOOKUP(F24,'Prep Simplified'!$B$3:$B$22,INDEX('Prep Simplified'!$L$3:$R$22,,MATCH($H$4,'Prep Simplified'!$L$2:$R$2,0))),0)&amp;" TRAYS"</f>
        <v>#N/A</v>
      </c>
      <c r="I24" s="111"/>
      <c r="J24" s="100" t="s">
        <v>342</v>
      </c>
      <c r="K24" s="101"/>
      <c r="L24" s="110" t="e" cm="1">
        <f t="array" aca="1" ref="L24" ca="1">ROUNDUP(_xlfn.XLOOKUP(J24,'Prep Simplified'!$B$3:$B$22,INDEX('Prep Simplified'!$L$3:$R$22,,MATCH($H$4,'Prep Simplified'!$L$2:$R$2,0))),0)&amp;" BOXES"</f>
        <v>#N/A</v>
      </c>
      <c r="M24" s="111"/>
    </row>
    <row r="25" spans="2:13" ht="16.5" hidden="1" customHeight="1">
      <c r="B25" s="102" t="s">
        <v>338</v>
      </c>
      <c r="C25" s="100"/>
      <c r="D25" s="110" t="e" cm="1">
        <f t="array" aca="1" ref="D25" ca="1">ROUNDUP(_xlfn.XLOOKUP(B25,'Prep Simplified'!$B$3:$B$22,INDEX('Prep Simplified'!$L$3:$R$22,,MATCH($H$4,'Prep Simplified'!$L$2:$R$2,0))),0)&amp;" PANS"</f>
        <v>#N/A</v>
      </c>
      <c r="E25" s="111"/>
      <c r="F25" s="112" t="s">
        <v>342</v>
      </c>
      <c r="G25" s="112"/>
      <c r="H25" s="110" t="e" cm="1">
        <f t="array" aca="1" ref="H25" ca="1">ROUNDUP(_xlfn.XLOOKUP(F25,'Prep Simplified'!$B$3:$B$22,INDEX('Prep Simplified'!$L$3:$R$22,,MATCH($H$4,'Prep Simplified'!$L$2:$R$2,0))),0)&amp;" TRAYS"</f>
        <v>#N/A</v>
      </c>
      <c r="I25" s="111"/>
      <c r="J25" s="100" t="s">
        <v>342</v>
      </c>
      <c r="K25" s="101"/>
      <c r="L25" s="110" t="e" cm="1">
        <f t="array" aca="1" ref="L25" ca="1">ROUNDUP(_xlfn.XLOOKUP(J25,'Prep Simplified'!$B$3:$B$22,INDEX('Prep Simplified'!$L$3:$R$22,,MATCH($H$4,'Prep Simplified'!$L$2:$R$2,0))),0)&amp;" BOXES"</f>
        <v>#N/A</v>
      </c>
      <c r="M25" s="111"/>
    </row>
    <row r="26" spans="2:13" ht="16.5" hidden="1" customHeight="1">
      <c r="B26" s="102" t="s">
        <v>338</v>
      </c>
      <c r="C26" s="100"/>
      <c r="D26" s="110" t="e" cm="1">
        <f t="array" aca="1" ref="D26" ca="1">ROUNDUP(_xlfn.XLOOKUP(B26,'Prep Simplified'!$B$3:$B$22,INDEX('Prep Simplified'!$L$3:$R$22,,MATCH($H$4,'Prep Simplified'!$L$2:$R$2,0))),0)&amp;" PANS"</f>
        <v>#N/A</v>
      </c>
      <c r="E26" s="111"/>
      <c r="F26" s="112" t="s">
        <v>342</v>
      </c>
      <c r="G26" s="112"/>
      <c r="H26" s="110" t="e" cm="1">
        <f t="array" aca="1" ref="H26" ca="1">ROUNDUP(_xlfn.XLOOKUP(F26,'Prep Simplified'!$B$3:$B$22,INDEX('Prep Simplified'!$L$3:$R$22,,MATCH($H$4,'Prep Simplified'!$L$2:$R$2,0))),0)&amp;" TRAYS"</f>
        <v>#N/A</v>
      </c>
      <c r="I26" s="111"/>
      <c r="J26" s="100" t="s">
        <v>342</v>
      </c>
      <c r="K26" s="101"/>
      <c r="L26" s="110" t="e" cm="1">
        <f t="array" aca="1" ref="L26" ca="1">ROUNDUP(_xlfn.XLOOKUP(J26,'Prep Simplified'!$B$3:$B$22,INDEX('Prep Simplified'!$L$3:$R$22,,MATCH($H$4,'Prep Simplified'!$L$2:$R$2,0))),0)&amp;" BOXES"</f>
        <v>#N/A</v>
      </c>
      <c r="M26" s="111"/>
    </row>
    <row r="27" spans="2:13" ht="16.5" hidden="1" customHeight="1">
      <c r="B27" s="102" t="s">
        <v>338</v>
      </c>
      <c r="C27" s="100"/>
      <c r="D27" s="110" t="e" cm="1">
        <f t="array" aca="1" ref="D27" ca="1">ROUNDUP(_xlfn.XLOOKUP(B27,'Prep Simplified'!$B$3:$B$22,INDEX('Prep Simplified'!$L$3:$R$22,,MATCH($H$4,'Prep Simplified'!$L$2:$R$2,0))),0)&amp;" PANS"</f>
        <v>#N/A</v>
      </c>
      <c r="E27" s="111"/>
      <c r="F27" s="112" t="s">
        <v>342</v>
      </c>
      <c r="G27" s="112"/>
      <c r="H27" s="110" t="e" cm="1">
        <f t="array" aca="1" ref="H27" ca="1">ROUNDUP(_xlfn.XLOOKUP(F27,'Prep Simplified'!$B$3:$B$22,INDEX('Prep Simplified'!$L$3:$R$22,,MATCH($H$4,'Prep Simplified'!$L$2:$R$2,0))),0)&amp;" TRAYS"</f>
        <v>#N/A</v>
      </c>
      <c r="I27" s="111"/>
      <c r="J27" s="100" t="s">
        <v>342</v>
      </c>
      <c r="K27" s="101"/>
      <c r="L27" s="110" t="e" cm="1">
        <f t="array" aca="1" ref="L27" ca="1">ROUNDUP(_xlfn.XLOOKUP(J27,'Prep Simplified'!$B$3:$B$22,INDEX('Prep Simplified'!$L$3:$R$22,,MATCH($H$4,'Prep Simplified'!$L$2:$R$2,0))),0)&amp;" BOXES"</f>
        <v>#N/A</v>
      </c>
      <c r="M27" s="111"/>
    </row>
    <row r="28" spans="2:13" ht="16.5" hidden="1" customHeight="1">
      <c r="B28" s="102" t="s">
        <v>338</v>
      </c>
      <c r="C28" s="100"/>
      <c r="D28" s="110" t="e" cm="1">
        <f t="array" aca="1" ref="D28" ca="1">ROUNDUP(_xlfn.XLOOKUP(B28,'Prep Simplified'!$B$3:$B$22,INDEX('Prep Simplified'!$L$3:$R$22,,MATCH($H$4,'Prep Simplified'!$L$2:$R$2,0))),0)&amp;" PANS"</f>
        <v>#N/A</v>
      </c>
      <c r="E28" s="111"/>
      <c r="F28" s="112" t="s">
        <v>342</v>
      </c>
      <c r="G28" s="112"/>
      <c r="H28" s="110" t="e" cm="1">
        <f t="array" aca="1" ref="H28" ca="1">ROUNDUP(_xlfn.XLOOKUP(F28,'Prep Simplified'!$B$3:$B$22,INDEX('Prep Simplified'!$L$3:$R$22,,MATCH($H$4,'Prep Simplified'!$L$2:$R$2,0))),0)&amp;" TRAYS"</f>
        <v>#N/A</v>
      </c>
      <c r="I28" s="111"/>
      <c r="J28" s="100" t="s">
        <v>342</v>
      </c>
      <c r="K28" s="101"/>
      <c r="L28" s="110" t="e" cm="1">
        <f t="array" aca="1" ref="L28" ca="1">ROUNDUP(_xlfn.XLOOKUP(J28,'Prep Simplified'!$B$3:$B$22,INDEX('Prep Simplified'!$L$3:$R$22,,MATCH($H$4,'Prep Simplified'!$L$2:$R$2,0))),0)&amp;" BOXES"</f>
        <v>#N/A</v>
      </c>
      <c r="M28" s="111"/>
    </row>
    <row r="29" spans="2:13" ht="16.5" hidden="1" customHeight="1">
      <c r="B29" s="102" t="s">
        <v>338</v>
      </c>
      <c r="C29" s="100"/>
      <c r="D29" s="110" t="e" cm="1">
        <f t="array" aca="1" ref="D29" ca="1">ROUNDUP(_xlfn.XLOOKUP(B29,'Prep Simplified'!$B$3:$B$22,INDEX('Prep Simplified'!$L$3:$R$22,,MATCH($H$4,'Prep Simplified'!$L$2:$R$2,0))),0)&amp;" PANS"</f>
        <v>#N/A</v>
      </c>
      <c r="E29" s="111"/>
      <c r="F29" s="112" t="s">
        <v>342</v>
      </c>
      <c r="G29" s="112"/>
      <c r="H29" s="110" t="e" cm="1">
        <f t="array" aca="1" ref="H29" ca="1">ROUNDUP(_xlfn.XLOOKUP(F29,'Prep Simplified'!$B$3:$B$22,INDEX('Prep Simplified'!$L$3:$R$22,,MATCH($H$4,'Prep Simplified'!$L$2:$R$2,0))),0)&amp;" TRAYS"</f>
        <v>#N/A</v>
      </c>
      <c r="I29" s="111"/>
      <c r="J29" s="100" t="s">
        <v>342</v>
      </c>
      <c r="K29" s="101"/>
      <c r="L29" s="110" t="e" cm="1">
        <f t="array" aca="1" ref="L29" ca="1">ROUNDUP(_xlfn.XLOOKUP(J29,'Prep Simplified'!$B$3:$B$22,INDEX('Prep Simplified'!$L$3:$R$22,,MATCH($H$4,'Prep Simplified'!$L$2:$R$2,0))),0)&amp;" BOXES"</f>
        <v>#N/A</v>
      </c>
      <c r="M29" s="111"/>
    </row>
    <row r="30" spans="2:13" ht="16.5" hidden="1" customHeight="1">
      <c r="B30" s="102" t="s">
        <v>338</v>
      </c>
      <c r="C30" s="100"/>
      <c r="D30" s="110" t="e" cm="1">
        <f t="array" aca="1" ref="D30" ca="1">ROUNDUP(_xlfn.XLOOKUP(B30,'Prep Simplified'!$B$3:$B$22,INDEX('Prep Simplified'!$L$3:$R$22,,MATCH($H$4,'Prep Simplified'!$L$2:$R$2,0))),0)&amp;" PANS"</f>
        <v>#N/A</v>
      </c>
      <c r="E30" s="111"/>
      <c r="F30" s="112" t="s">
        <v>342</v>
      </c>
      <c r="G30" s="112"/>
      <c r="H30" s="110" t="e" cm="1">
        <f t="array" aca="1" ref="H30" ca="1">ROUNDUP(_xlfn.XLOOKUP(F30,'Prep Simplified'!$B$3:$B$22,INDEX('Prep Simplified'!$L$3:$R$22,,MATCH($H$4,'Prep Simplified'!$L$2:$R$2,0))),0)&amp;" TRAYS"</f>
        <v>#N/A</v>
      </c>
      <c r="I30" s="111"/>
      <c r="J30" s="100" t="s">
        <v>342</v>
      </c>
      <c r="K30" s="101"/>
      <c r="L30" s="110" t="e" cm="1">
        <f t="array" aca="1" ref="L30" ca="1">ROUNDUP(_xlfn.XLOOKUP(J30,'Prep Simplified'!$B$3:$B$22,INDEX('Prep Simplified'!$L$3:$R$22,,MATCH($H$4,'Prep Simplified'!$L$2:$R$2,0))),0)&amp;" BOXES"</f>
        <v>#N/A</v>
      </c>
      <c r="M30" s="111"/>
    </row>
    <row r="31" spans="2:13" ht="16.5" hidden="1" customHeight="1">
      <c r="B31" s="102" t="s">
        <v>338</v>
      </c>
      <c r="C31" s="100"/>
      <c r="D31" s="110" t="e" cm="1">
        <f t="array" aca="1" ref="D31" ca="1">ROUNDUP(_xlfn.XLOOKUP(B31,'Prep Simplified'!$B$3:$B$22,INDEX('Prep Simplified'!$L$3:$R$22,,MATCH($H$4,'Prep Simplified'!$L$2:$R$2,0))),0)&amp;" PANS"</f>
        <v>#N/A</v>
      </c>
      <c r="E31" s="111"/>
      <c r="F31" s="112" t="s">
        <v>342</v>
      </c>
      <c r="G31" s="112"/>
      <c r="H31" s="110" t="e" cm="1">
        <f t="array" aca="1" ref="H31" ca="1">ROUNDUP(_xlfn.XLOOKUP(F31,'Prep Simplified'!$B$3:$B$22,INDEX('Prep Simplified'!$L$3:$R$22,,MATCH($H$4,'Prep Simplified'!$L$2:$R$2,0))),0)&amp;" TRAYS"</f>
        <v>#N/A</v>
      </c>
      <c r="I31" s="111"/>
      <c r="J31" s="100" t="s">
        <v>342</v>
      </c>
      <c r="K31" s="101"/>
      <c r="L31" s="110" t="e" cm="1">
        <f t="array" aca="1" ref="L31" ca="1">ROUNDUP(_xlfn.XLOOKUP(J31,'Prep Simplified'!$B$3:$B$22,INDEX('Prep Simplified'!$L$3:$R$22,,MATCH($H$4,'Prep Simplified'!$L$2:$R$2,0))),0)&amp;" BOXES"</f>
        <v>#N/A</v>
      </c>
      <c r="M31" s="111"/>
    </row>
    <row r="32" spans="2:13" ht="16.5" hidden="1" customHeight="1">
      <c r="B32" s="102" t="s">
        <v>338</v>
      </c>
      <c r="C32" s="100"/>
      <c r="D32" s="110" t="e" cm="1">
        <f t="array" aca="1" ref="D32" ca="1">ROUNDUP(_xlfn.XLOOKUP(B32,'Prep Simplified'!$B$3:$B$22,INDEX('Prep Simplified'!$L$3:$R$22,,MATCH($H$4,'Prep Simplified'!$L$2:$R$2,0))),0)&amp;" PANS"</f>
        <v>#N/A</v>
      </c>
      <c r="E32" s="111"/>
      <c r="F32" s="112" t="s">
        <v>342</v>
      </c>
      <c r="G32" s="112"/>
      <c r="H32" s="110" t="e" cm="1">
        <f t="array" aca="1" ref="H32" ca="1">ROUNDUP(_xlfn.XLOOKUP(F32,'Prep Simplified'!$B$3:$B$22,INDEX('Prep Simplified'!$L$3:$R$22,,MATCH($H$4,'Prep Simplified'!$L$2:$R$2,0))),0)&amp;" TRAYS"</f>
        <v>#N/A</v>
      </c>
      <c r="I32" s="111"/>
      <c r="J32" s="100" t="s">
        <v>342</v>
      </c>
      <c r="K32" s="101"/>
      <c r="L32" s="110" t="e" cm="1">
        <f t="array" aca="1" ref="L32" ca="1">ROUNDUP(_xlfn.XLOOKUP(J32,'Prep Simplified'!$B$3:$B$22,INDEX('Prep Simplified'!$L$3:$R$22,,MATCH($H$4,'Prep Simplified'!$L$2:$R$2,0))),0)&amp;" BOXES"</f>
        <v>#N/A</v>
      </c>
      <c r="M32" s="111"/>
    </row>
    <row r="33" spans="2:13" ht="16.5" hidden="1" customHeight="1">
      <c r="B33" s="102" t="s">
        <v>338</v>
      </c>
      <c r="C33" s="100"/>
      <c r="D33" s="110" t="e" cm="1">
        <f t="array" aca="1" ref="D33" ca="1">ROUNDUP(_xlfn.XLOOKUP(B33,'Prep Simplified'!$B$3:$B$22,INDEX('Prep Simplified'!$L$3:$R$22,,MATCH($H$4,'Prep Simplified'!$L$2:$R$2,0))),0)&amp;" PANS"</f>
        <v>#N/A</v>
      </c>
      <c r="E33" s="111"/>
      <c r="F33" s="112" t="s">
        <v>342</v>
      </c>
      <c r="G33" s="112"/>
      <c r="H33" s="110" t="e" cm="1">
        <f t="array" aca="1" ref="H33" ca="1">ROUNDUP(_xlfn.XLOOKUP(F33,'Prep Simplified'!$B$3:$B$22,INDEX('Prep Simplified'!$L$3:$R$22,,MATCH($H$4,'Prep Simplified'!$L$2:$R$2,0))),0)&amp;" TRAYS"</f>
        <v>#N/A</v>
      </c>
      <c r="I33" s="111"/>
      <c r="J33" s="154" t="s">
        <v>342</v>
      </c>
      <c r="K33" s="155"/>
      <c r="L33" s="110" t="e" cm="1">
        <f t="array" aca="1" ref="L33" ca="1">ROUNDUP(_xlfn.XLOOKUP(J33,'Prep Simplified'!$B$3:$B$22,INDEX('Prep Simplified'!$L$3:$R$22,,MATCH($H$4,'Prep Simplified'!$L$2:$R$2,0))),0)&amp;" BOXES"</f>
        <v>#N/A</v>
      </c>
      <c r="M33" s="111"/>
    </row>
    <row r="34" spans="2:13" ht="15.95" customHeight="1">
      <c r="B34" s="142" t="s">
        <v>61</v>
      </c>
      <c r="C34" s="143"/>
      <c r="D34" s="110" t="str" cm="1">
        <f t="array" aca="1" ref="D34" ca="1">ROUNDUP(_xlfn.XLOOKUP(B34,'Prep Simplified'!$B$3:$B$22,INDEX('Prep Simplified'!$L$3:$R$22,,MATCH($H$4,'Prep Simplified'!$L$2:$R$2,0))),0)&amp;" BOTTLES"</f>
        <v>15 BOTTLES</v>
      </c>
      <c r="E34" s="111"/>
      <c r="F34" s="112" t="s">
        <v>55</v>
      </c>
      <c r="G34" s="112"/>
      <c r="H34" s="110" t="str" cm="1">
        <f t="array" aca="1" ref="H34" ca="1">ROUNDUP(_xlfn.XLOOKUP(F34,'Prep Simplified'!$B$3:$B$22,INDEX('Prep Simplified'!$L$3:$R$22,,MATCH($H$4,'Prep Simplified'!$L$2:$R$2,0)))/2,0)&amp;" TUBS"</f>
        <v>2 TUBS</v>
      </c>
      <c r="I34" s="111"/>
      <c r="J34" s="145" t="s">
        <v>170</v>
      </c>
      <c r="K34" s="146"/>
      <c r="L34" s="110" t="str" cm="1">
        <f t="array" aca="1" ref="L34" ca="1">ROUNDUP(_xlfn.XLOOKUP(J34,'Prep Simplified'!$B$3:$B$22,INDEX('Prep Simplified'!$L$3:$R$22,,MATCH($H$4,'Prep Simplified'!$L$2:$R$2,0))),0)&amp;" BOXES"</f>
        <v>2 BOXES</v>
      </c>
      <c r="M34" s="111"/>
    </row>
    <row r="35" spans="2:13" ht="15" customHeight="1">
      <c r="B35" s="142" t="s">
        <v>150</v>
      </c>
      <c r="C35" s="143"/>
      <c r="D35" s="110" t="str" cm="1">
        <f t="array" aca="1" ref="D35" ca="1">ROUNDUP(_xlfn.XLOOKUP(B35,'Prep Simplified'!$B$3:$B$22,INDEX('Prep Simplified'!$L$3:$R$22,,MATCH($H$4,'Prep Simplified'!$L$2:$R$2,0))),0)&amp;" BOTTLES"</f>
        <v>14 BOTTLES</v>
      </c>
      <c r="E35" s="111"/>
      <c r="F35" s="112" t="s">
        <v>59</v>
      </c>
      <c r="G35" s="112"/>
      <c r="H35" s="110" t="str" cm="1">
        <f t="array" aca="1" ref="H35" ca="1">ROUNDUP(_xlfn.XLOOKUP(F35,'Prep Simplified'!$B$3:$B$22,INDEX('Prep Simplified'!$L$3:$R$22,,MATCH($H$4,'Prep Simplified'!$L$2:$R$2,0))),0)&amp;" CUPS"</f>
        <v>1 CUPS</v>
      </c>
      <c r="I35" s="111"/>
      <c r="J35" s="145" t="s">
        <v>327</v>
      </c>
      <c r="K35" s="146"/>
      <c r="L35" s="110" t="str" cm="1">
        <f t="array" aca="1" ref="L35" ca="1">ROUNDUP(_xlfn.XLOOKUP(J35,'Prep Simplified'!$B$3:$B$22,INDEX('Prep Simplified'!$L$3:$R$22,,MATCH($H$4,'Prep Simplified'!$L$2:$R$2,0))),0)&amp;" BOXES"</f>
        <v>3 BOXES</v>
      </c>
      <c r="M35" s="111"/>
    </row>
    <row r="36" spans="2:13" ht="14.45" customHeight="1">
      <c r="B36" s="142" t="s">
        <v>140</v>
      </c>
      <c r="C36" s="143"/>
      <c r="D36" s="110" t="str" cm="1">
        <f t="array" aca="1" ref="D36" ca="1">ROUNDUP(_xlfn.XLOOKUP(B36,'Prep Simplified'!$B$3:$B$22,INDEX('Prep Simplified'!$L$3:$R$22,,MATCH($H$4,'Prep Simplified'!$L$2:$R$2,0))),0)&amp;" BOTTLES"</f>
        <v>7 BOTTLES</v>
      </c>
      <c r="E36" s="111"/>
      <c r="F36" s="16"/>
      <c r="G36" s="16"/>
      <c r="H36" s="16"/>
      <c r="I36" s="16"/>
      <c r="J36" s="151" t="s">
        <v>165</v>
      </c>
      <c r="K36" s="146"/>
      <c r="L36" s="110" t="str" cm="1">
        <f t="array" aca="1" ref="L36" ca="1">ROUNDUP(_xlfn.XLOOKUP(J36,'Prep Simplified'!$B$3:$B$22,INDEX('Prep Simplified'!$L$3:$R$22,,MATCH($H$4,'Prep Simplified'!$L$2:$R$2,0))),0)&amp;" BOXES"</f>
        <v>3 BOXES</v>
      </c>
      <c r="M36" s="111"/>
    </row>
    <row r="37" spans="2:13" ht="14.45" customHeight="1">
      <c r="B37" s="142" t="s">
        <v>116</v>
      </c>
      <c r="C37" s="143"/>
      <c r="D37" s="110" t="str" cm="1">
        <f t="array" aca="1" ref="D37" ca="1">ROUNDUP(_xlfn.XLOOKUP(B37,'Prep Simplified'!$B$3:$B$22,INDEX('Prep Simplified'!$L$3:$R$22,,MATCH($H$4,'Prep Simplified'!$L$2:$R$2,0))),0)&amp;" BOTTLES"</f>
        <v>5 BOTTLES</v>
      </c>
      <c r="E37" s="111"/>
      <c r="F37" s="16"/>
      <c r="G37" s="16"/>
      <c r="H37" s="16"/>
      <c r="I37" s="16"/>
      <c r="J37" s="153" t="s">
        <v>55</v>
      </c>
      <c r="K37" s="146"/>
      <c r="L37" s="110" t="str" cm="1">
        <f t="array" aca="1" ref="L37" ca="1">ROUNDUP(_xlfn.XLOOKUP(J37,'Prep Simplified'!$B$3:$B$22,INDEX('Prep Simplified'!$L$3:$R$22,,MATCH($H$4,'Prep Simplified'!$L$2:$R$2,0))),0)&amp;" BOXES"</f>
        <v>3 BOXES</v>
      </c>
      <c r="M37" s="111"/>
    </row>
    <row r="38" spans="2:13" ht="14.45" customHeight="1">
      <c r="B38" s="142" t="s">
        <v>144</v>
      </c>
      <c r="C38" s="143"/>
      <c r="D38" s="110" t="str" cm="1">
        <f t="array" aca="1" ref="D38" ca="1">ROUNDUP(_xlfn.XLOOKUP(B38,'Prep Simplified'!$B$3:$B$22,INDEX('Prep Simplified'!$L$3:$R$22,,MATCH($H$4,'Prep Simplified'!$L$2:$R$2,0))),0)&amp;" BOTTLES"</f>
        <v>3 BOTTLES</v>
      </c>
      <c r="E38" s="111"/>
      <c r="F38" s="16"/>
      <c r="G38" s="16"/>
      <c r="H38" s="16"/>
      <c r="I38" s="16"/>
      <c r="J38" s="151" t="s">
        <v>123</v>
      </c>
      <c r="K38" s="152"/>
      <c r="L38" s="110" t="str" cm="1">
        <f t="array" aca="1" ref="L38" ca="1">ROUNDUP(_xlfn.XLOOKUP(J38,'Prep Simplified'!$B$3:$B$22,INDEX('Prep Simplified'!$L$3:$R$22,,MATCH($H$4,'Prep Simplified'!$L$2:$R$2,0))),0)&amp;" BAGS"</f>
        <v>44 BAGS</v>
      </c>
      <c r="M38" s="111"/>
    </row>
    <row r="39" spans="2:13" ht="16.5" customHeight="1">
      <c r="B39" s="142" t="s">
        <v>139</v>
      </c>
      <c r="C39" s="143"/>
      <c r="D39" s="110" t="str" cm="1">
        <f t="array" aca="1" ref="D39" ca="1">ROUNDUP(_xlfn.XLOOKUP(B39,'Prep Simplified'!$B$3:$B$22,INDEX('Prep Simplified'!$L$3:$R$22,,MATCH($H$4,'Prep Simplified'!$L$2:$R$2,0))),0)&amp;" BOTTLES"</f>
        <v>7 BOTTLES</v>
      </c>
      <c r="E39" s="111"/>
      <c r="F39" s="16"/>
      <c r="G39" s="16"/>
      <c r="H39" s="16"/>
      <c r="I39" s="16"/>
      <c r="J39" s="16"/>
      <c r="K39" s="16"/>
      <c r="L39" s="16"/>
      <c r="M39" s="17"/>
    </row>
    <row r="40" spans="2:13" ht="16.5" customHeight="1">
      <c r="B40" s="142" t="s">
        <v>145</v>
      </c>
      <c r="C40" s="143"/>
      <c r="D40" s="110" t="str" cm="1">
        <f t="array" aca="1" ref="D40" ca="1">ROUNDUP(_xlfn.XLOOKUP(B40,'Prep Simplified'!$B$3:$B$22,INDEX('Prep Simplified'!$L$3:$R$22,,MATCH($H$4,'Prep Simplified'!$L$2:$R$2,0))),0)&amp;" BOTTLES"</f>
        <v>2 BOTTLES</v>
      </c>
      <c r="E40" s="111"/>
      <c r="F40" s="18"/>
      <c r="G40" s="18"/>
      <c r="H40" s="18"/>
      <c r="I40" s="18"/>
      <c r="J40" s="18"/>
      <c r="K40" s="18"/>
      <c r="L40" s="18"/>
      <c r="M40" s="19"/>
    </row>
    <row r="43" spans="2:13" ht="16.5" hidden="1" customHeight="1">
      <c r="D43" s="119">
        <f ca="1">SUM(D9:E12)</f>
        <v>6</v>
      </c>
      <c r="E43" s="119"/>
      <c r="F43" s="119">
        <f ca="1">SUM(F9:G12)</f>
        <v>14</v>
      </c>
      <c r="G43" s="119"/>
      <c r="H43" s="119">
        <f ca="1">SUM(H9:I12)</f>
        <v>14</v>
      </c>
      <c r="I43" s="119"/>
      <c r="J43" s="119">
        <f ca="1">SUM(J9:K12)</f>
        <v>21</v>
      </c>
      <c r="K43" s="119"/>
      <c r="L43" s="119">
        <f ca="1">SUM(L9:M12)</f>
        <v>8</v>
      </c>
      <c r="M43" s="119"/>
    </row>
    <row r="47" spans="2:13"/>
    <row r="50"/>
    <row r="51"/>
  </sheetData>
  <mergeCells count="198">
    <mergeCell ref="J24:K24"/>
    <mergeCell ref="L6:M6"/>
    <mergeCell ref="H4:J4"/>
    <mergeCell ref="K4:M4"/>
    <mergeCell ref="B4:G4"/>
    <mergeCell ref="J31:K31"/>
    <mergeCell ref="L31:M31"/>
    <mergeCell ref="H6:I6"/>
    <mergeCell ref="J6:K6"/>
    <mergeCell ref="J19:K19"/>
    <mergeCell ref="L19:M19"/>
    <mergeCell ref="L9:M9"/>
    <mergeCell ref="L10:M10"/>
    <mergeCell ref="L11:M11"/>
    <mergeCell ref="L12:M12"/>
    <mergeCell ref="L13:M13"/>
    <mergeCell ref="J12:K12"/>
    <mergeCell ref="J13:K13"/>
    <mergeCell ref="J16:K16"/>
    <mergeCell ref="L16:M16"/>
    <mergeCell ref="J17:K17"/>
    <mergeCell ref="L17:M17"/>
    <mergeCell ref="J18:K18"/>
    <mergeCell ref="L18:M18"/>
    <mergeCell ref="J29:K29"/>
    <mergeCell ref="J20:K20"/>
    <mergeCell ref="L20:M20"/>
    <mergeCell ref="L7:M7"/>
    <mergeCell ref="L27:M27"/>
    <mergeCell ref="J28:K28"/>
    <mergeCell ref="L28:M28"/>
    <mergeCell ref="F8:G8"/>
    <mergeCell ref="H8:I8"/>
    <mergeCell ref="J8:K8"/>
    <mergeCell ref="L8:M8"/>
    <mergeCell ref="J7:K7"/>
    <mergeCell ref="F7:G7"/>
    <mergeCell ref="H7:I7"/>
    <mergeCell ref="F10:G10"/>
    <mergeCell ref="F11:G11"/>
    <mergeCell ref="F12:G12"/>
    <mergeCell ref="L24:M24"/>
    <mergeCell ref="J25:K25"/>
    <mergeCell ref="H20:I20"/>
    <mergeCell ref="H21:I21"/>
    <mergeCell ref="H22:I22"/>
    <mergeCell ref="H23:I23"/>
    <mergeCell ref="H24:I24"/>
    <mergeCell ref="J27:K27"/>
    <mergeCell ref="J37:K37"/>
    <mergeCell ref="J34:K34"/>
    <mergeCell ref="L34:M34"/>
    <mergeCell ref="J35:K35"/>
    <mergeCell ref="L35:M35"/>
    <mergeCell ref="L25:M25"/>
    <mergeCell ref="H25:I25"/>
    <mergeCell ref="H26:I26"/>
    <mergeCell ref="H27:I27"/>
    <mergeCell ref="H28:I28"/>
    <mergeCell ref="H29:I29"/>
    <mergeCell ref="L37:M37"/>
    <mergeCell ref="J36:K36"/>
    <mergeCell ref="L36:M36"/>
    <mergeCell ref="H30:I30"/>
    <mergeCell ref="H31:I31"/>
    <mergeCell ref="H32:I32"/>
    <mergeCell ref="H33:I33"/>
    <mergeCell ref="J32:K32"/>
    <mergeCell ref="L32:M32"/>
    <mergeCell ref="J33:K33"/>
    <mergeCell ref="L33:M33"/>
    <mergeCell ref="J26:K26"/>
    <mergeCell ref="L26:M26"/>
    <mergeCell ref="J43:K43"/>
    <mergeCell ref="L43:M43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8:E28"/>
    <mergeCell ref="D29:E29"/>
    <mergeCell ref="D30:E30"/>
    <mergeCell ref="D31:E31"/>
    <mergeCell ref="D32:E32"/>
    <mergeCell ref="D33:E33"/>
    <mergeCell ref="D34:E34"/>
    <mergeCell ref="D35:E35"/>
    <mergeCell ref="H34:I34"/>
    <mergeCell ref="J38:K38"/>
    <mergeCell ref="L38:M38"/>
    <mergeCell ref="D10:E10"/>
    <mergeCell ref="D11:E11"/>
    <mergeCell ref="D12:E12"/>
    <mergeCell ref="F6:G6"/>
    <mergeCell ref="D43:E43"/>
    <mergeCell ref="F43:G43"/>
    <mergeCell ref="H43:I43"/>
    <mergeCell ref="H16:I16"/>
    <mergeCell ref="H17:I17"/>
    <mergeCell ref="H18:I18"/>
    <mergeCell ref="H19:I19"/>
    <mergeCell ref="B15:E15"/>
    <mergeCell ref="F15:I15"/>
    <mergeCell ref="B16:C16"/>
    <mergeCell ref="F13:G13"/>
    <mergeCell ref="H9:I9"/>
    <mergeCell ref="H10:I10"/>
    <mergeCell ref="H11:I11"/>
    <mergeCell ref="H12:I12"/>
    <mergeCell ref="H13:I13"/>
    <mergeCell ref="B9:C9"/>
    <mergeCell ref="B10:C10"/>
    <mergeCell ref="F9:G9"/>
    <mergeCell ref="F16:G16"/>
    <mergeCell ref="B2:M2"/>
    <mergeCell ref="F35:G35"/>
    <mergeCell ref="D13:E13"/>
    <mergeCell ref="B11:C11"/>
    <mergeCell ref="B12:C12"/>
    <mergeCell ref="B13:C13"/>
    <mergeCell ref="H3:M3"/>
    <mergeCell ref="B3:G3"/>
    <mergeCell ref="H35:I35"/>
    <mergeCell ref="L29:M29"/>
    <mergeCell ref="J30:K30"/>
    <mergeCell ref="L30:M30"/>
    <mergeCell ref="L21:M21"/>
    <mergeCell ref="J22:K22"/>
    <mergeCell ref="L22:M22"/>
    <mergeCell ref="J23:K23"/>
    <mergeCell ref="L23:M23"/>
    <mergeCell ref="J21:K21"/>
    <mergeCell ref="B6:C6"/>
    <mergeCell ref="B8:C8"/>
    <mergeCell ref="D6:E6"/>
    <mergeCell ref="D7:E7"/>
    <mergeCell ref="D8:E8"/>
    <mergeCell ref="B7:C7"/>
    <mergeCell ref="J9:K9"/>
    <mergeCell ref="J10:K10"/>
    <mergeCell ref="J11:K11"/>
    <mergeCell ref="J15:M15"/>
    <mergeCell ref="B39:C39"/>
    <mergeCell ref="F30:G30"/>
    <mergeCell ref="F31:G31"/>
    <mergeCell ref="F32:G32"/>
    <mergeCell ref="F33:G33"/>
    <mergeCell ref="B33:C33"/>
    <mergeCell ref="B34:C34"/>
    <mergeCell ref="B35:C35"/>
    <mergeCell ref="B36:C36"/>
    <mergeCell ref="B37:C37"/>
    <mergeCell ref="D36:E36"/>
    <mergeCell ref="D37:E37"/>
    <mergeCell ref="D38:E38"/>
    <mergeCell ref="B28:C28"/>
    <mergeCell ref="B29:C29"/>
    <mergeCell ref="B30:C30"/>
    <mergeCell ref="B31:C31"/>
    <mergeCell ref="B32:C32"/>
    <mergeCell ref="B23:C23"/>
    <mergeCell ref="D9:E9"/>
    <mergeCell ref="F17:G17"/>
    <mergeCell ref="F34:G34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B17:C17"/>
    <mergeCell ref="D27:E27"/>
    <mergeCell ref="D39:E39"/>
    <mergeCell ref="D40:E40"/>
    <mergeCell ref="B24:C24"/>
    <mergeCell ref="B25:C25"/>
    <mergeCell ref="B26:C26"/>
    <mergeCell ref="B27:C27"/>
    <mergeCell ref="B40:C40"/>
    <mergeCell ref="B38:C38"/>
    <mergeCell ref="B19:C19"/>
    <mergeCell ref="B20:C20"/>
    <mergeCell ref="B21:C21"/>
    <mergeCell ref="B22:C22"/>
    <mergeCell ref="B18:C18"/>
  </mergeCells>
  <conditionalFormatting sqref="D9:M12">
    <cfRule type="expression" dxfId="1" priority="1">
      <formula>D$43&gt;24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651C-5CB9-4999-B938-B1625CF7BC6A}">
  <sheetPr>
    <pageSetUpPr fitToPage="1"/>
  </sheetPr>
  <dimension ref="A1:M51"/>
  <sheetViews>
    <sheetView showGridLines="0" tabSelected="1" zoomScale="67" workbookViewId="0">
      <selection activeCell="H55" sqref="H55"/>
    </sheetView>
  </sheetViews>
  <sheetFormatPr defaultRowHeight="16.5" customHeight="1"/>
  <cols>
    <col min="2" max="13" width="10.7109375" style="15" customWidth="1"/>
  </cols>
  <sheetData>
    <row r="1" spans="1:13" ht="14.25" customHeight="1">
      <c r="B1"/>
      <c r="C1"/>
      <c r="D1"/>
      <c r="E1"/>
      <c r="F1"/>
      <c r="G1"/>
      <c r="H1"/>
      <c r="I1"/>
      <c r="J1"/>
      <c r="K1"/>
      <c r="L1"/>
      <c r="M1"/>
    </row>
    <row r="2" spans="1:13" ht="29.1" customHeight="1">
      <c r="B2" s="95" t="str">
        <f>'Prep Guide Calculations'!B2</f>
        <v>Prep Guide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 ht="14.45" customHeight="1">
      <c r="B3" s="96" t="s">
        <v>330</v>
      </c>
      <c r="C3" s="96"/>
      <c r="D3" s="96"/>
      <c r="E3" s="96"/>
      <c r="F3" s="96"/>
      <c r="G3" s="96"/>
      <c r="H3" s="96" t="str">
        <f>'Prep Guide Calculations'!H3</f>
        <v>3811 - Chirnside Park</v>
      </c>
      <c r="I3" s="96"/>
      <c r="J3" s="96"/>
      <c r="K3" s="96"/>
      <c r="L3" s="96"/>
      <c r="M3" s="96"/>
    </row>
    <row r="4" spans="1:13" ht="15.95" customHeight="1">
      <c r="B4" s="97">
        <f ca="1">'Prep Guide Calculations'!B4</f>
        <v>5292</v>
      </c>
      <c r="C4" s="97"/>
      <c r="D4" s="97"/>
      <c r="E4" s="97"/>
      <c r="F4" s="97"/>
      <c r="G4" s="97"/>
      <c r="H4" s="98" t="str">
        <f ca="1">'Prep Guide Calculations'!H4</f>
        <v>Thursday</v>
      </c>
      <c r="I4" s="98"/>
      <c r="J4" s="98"/>
      <c r="K4" s="99">
        <f ca="1">'Prep Guide Calculations'!K4</f>
        <v>46226.314456134256</v>
      </c>
      <c r="L4" s="99"/>
      <c r="M4" s="99"/>
    </row>
    <row r="5" spans="1:13" ht="3.75" customHeight="1"/>
    <row r="6" spans="1:13" ht="15.6" customHeight="1">
      <c r="B6" s="102" t="str">
        <f>'Prep Guide Calculations'!B6</f>
        <v>Manager Initial:</v>
      </c>
      <c r="C6" s="102"/>
      <c r="D6" s="103"/>
      <c r="E6" s="104"/>
      <c r="F6" s="100"/>
      <c r="G6" s="101"/>
      <c r="H6" s="100"/>
      <c r="I6" s="101"/>
      <c r="J6" s="100"/>
      <c r="K6" s="101"/>
      <c r="L6" s="100"/>
      <c r="M6" s="101"/>
    </row>
    <row r="7" spans="1:13" ht="15.6" hidden="1" customHeight="1">
      <c r="B7" s="160"/>
      <c r="C7" s="161"/>
      <c r="D7" s="100"/>
      <c r="E7" s="101"/>
      <c r="F7" s="100"/>
      <c r="G7" s="101"/>
      <c r="H7" s="100"/>
      <c r="I7" s="101"/>
      <c r="J7" s="100"/>
      <c r="K7" s="101"/>
      <c r="L7" s="100"/>
      <c r="M7" s="101"/>
    </row>
    <row r="8" spans="1:13" ht="15" customHeight="1">
      <c r="B8" s="107" t="str">
        <f>'Prep Guide Calculations'!B8</f>
        <v>Cook Cycle</v>
      </c>
      <c r="C8" s="108"/>
      <c r="D8" s="107" t="str">
        <f>'Prep Guide Calculations'!D8</f>
        <v>8:45</v>
      </c>
      <c r="E8" s="108"/>
      <c r="F8" s="107" t="str">
        <f>'Prep Guide Calculations'!F8</f>
        <v>10:30</v>
      </c>
      <c r="G8" s="108"/>
      <c r="H8" s="107" t="str">
        <f>'Prep Guide Calculations'!H8</f>
        <v>14:00</v>
      </c>
      <c r="I8" s="108"/>
      <c r="J8" s="107" t="str">
        <f>'Prep Guide Calculations'!J8</f>
        <v>15:30</v>
      </c>
      <c r="K8" s="108"/>
      <c r="L8" s="107" t="str">
        <f>'Prep Guide Calculations'!L8</f>
        <v>19:00</v>
      </c>
      <c r="M8" s="108"/>
    </row>
    <row r="9" spans="1:13">
      <c r="A9" s="14"/>
      <c r="B9" s="102" t="str">
        <f>'Prep Guide Calculations'!B9</f>
        <v>BEEF</v>
      </c>
      <c r="C9" s="102"/>
      <c r="D9" s="105">
        <f ca="1">'Prep Guide Calculations'!D9</f>
        <v>2</v>
      </c>
      <c r="E9" s="106"/>
      <c r="F9" s="105">
        <f ca="1">'Prep Guide Calculations'!F9</f>
        <v>4</v>
      </c>
      <c r="G9" s="106"/>
      <c r="H9" s="105">
        <f ca="1">'Prep Guide Calculations'!H9</f>
        <v>4</v>
      </c>
      <c r="I9" s="106"/>
      <c r="J9" s="105">
        <f ca="1">'Prep Guide Calculations'!J9</f>
        <v>6</v>
      </c>
      <c r="K9" s="106"/>
      <c r="L9" s="105">
        <f ca="1">'Prep Guide Calculations'!L9</f>
        <v>2</v>
      </c>
      <c r="M9" s="106"/>
    </row>
    <row r="10" spans="1:13">
      <c r="B10" s="102" t="str">
        <f>'Prep Guide Calculations'!B10</f>
        <v>CHICKEN</v>
      </c>
      <c r="C10" s="102"/>
      <c r="D10" s="105">
        <f ca="1">'Prep Guide Calculations'!D10</f>
        <v>2</v>
      </c>
      <c r="E10" s="106"/>
      <c r="F10" s="105">
        <f ca="1">'Prep Guide Calculations'!F10</f>
        <v>5</v>
      </c>
      <c r="G10" s="106"/>
      <c r="H10" s="105">
        <f ca="1">'Prep Guide Calculations'!H10</f>
        <v>5</v>
      </c>
      <c r="I10" s="106"/>
      <c r="J10" s="105">
        <f ca="1">'Prep Guide Calculations'!J10</f>
        <v>8</v>
      </c>
      <c r="K10" s="106"/>
      <c r="L10" s="105">
        <f ca="1">'Prep Guide Calculations'!L10</f>
        <v>3</v>
      </c>
      <c r="M10" s="106"/>
    </row>
    <row r="11" spans="1:13">
      <c r="B11" s="102" t="str">
        <f>'Prep Guide Calculations'!B11</f>
        <v>BEANS</v>
      </c>
      <c r="C11" s="102"/>
      <c r="D11" s="105">
        <f ca="1">'Prep Guide Calculations'!D11</f>
        <v>1</v>
      </c>
      <c r="E11" s="106"/>
      <c r="F11" s="105">
        <f ca="1">'Prep Guide Calculations'!F11</f>
        <v>3</v>
      </c>
      <c r="G11" s="106"/>
      <c r="H11" s="105">
        <f ca="1">'Prep Guide Calculations'!H11</f>
        <v>3</v>
      </c>
      <c r="I11" s="106"/>
      <c r="J11" s="105">
        <f ca="1">'Prep Guide Calculations'!J11</f>
        <v>4</v>
      </c>
      <c r="K11" s="106"/>
      <c r="L11" s="105">
        <f ca="1">'Prep Guide Calculations'!L11</f>
        <v>2</v>
      </c>
      <c r="M11" s="106"/>
    </row>
    <row r="12" spans="1:13">
      <c r="B12" s="102" t="str">
        <f>'Prep Guide Calculations'!B12</f>
        <v>NACHO CHEESE</v>
      </c>
      <c r="C12" s="102"/>
      <c r="D12" s="105">
        <f ca="1">'Prep Guide Calculations'!D12</f>
        <v>1</v>
      </c>
      <c r="E12" s="106"/>
      <c r="F12" s="105">
        <f ca="1">'Prep Guide Calculations'!F12</f>
        <v>2</v>
      </c>
      <c r="G12" s="106"/>
      <c r="H12" s="105">
        <f ca="1">'Prep Guide Calculations'!H12</f>
        <v>2</v>
      </c>
      <c r="I12" s="106"/>
      <c r="J12" s="105">
        <f ca="1">'Prep Guide Calculations'!J12</f>
        <v>3</v>
      </c>
      <c r="K12" s="106"/>
      <c r="L12" s="105">
        <f ca="1">'Prep Guide Calculations'!L12</f>
        <v>1</v>
      </c>
      <c r="M12" s="106"/>
    </row>
    <row r="13" spans="1:13">
      <c r="B13" s="102" t="str">
        <f>'Prep Guide Calculations'!B13</f>
        <v>RICE</v>
      </c>
      <c r="C13" s="102"/>
      <c r="D13" s="109" t="str">
        <f ca="1">'Prep Guide Calculations'!D13</f>
        <v>1 PAN</v>
      </c>
      <c r="E13" s="109"/>
      <c r="F13" s="109" t="str">
        <f ca="1">'Prep Guide Calculations'!F13</f>
        <v>2 PANS</v>
      </c>
      <c r="G13" s="109"/>
      <c r="H13" s="109" t="str">
        <f ca="1">'Prep Guide Calculations'!H13</f>
        <v>2 PANS</v>
      </c>
      <c r="I13" s="109"/>
      <c r="J13" s="109" t="str">
        <f ca="1">'Prep Guide Calculations'!J13</f>
        <v>3 PANS</v>
      </c>
      <c r="K13" s="109"/>
      <c r="L13" s="109" t="str">
        <f ca="1">'Prep Guide Calculations'!L13</f>
        <v>1 PAN</v>
      </c>
      <c r="M13" s="109"/>
    </row>
    <row r="14" spans="1:13" ht="3.75" customHeight="1"/>
    <row r="15" spans="1:13" ht="16.5" customHeight="1">
      <c r="B15" s="114" t="str">
        <f>'Prep Guide Calculations'!B15</f>
        <v>SALAD PREP</v>
      </c>
      <c r="C15" s="114"/>
      <c r="D15" s="115"/>
      <c r="E15" s="115"/>
      <c r="F15" s="114" t="str">
        <f>'Prep Guide Calculations'!F15</f>
        <v>FRY PREP</v>
      </c>
      <c r="G15" s="114"/>
      <c r="H15" s="115"/>
      <c r="I15" s="115"/>
      <c r="J15" s="114" t="str">
        <f>'Prep Guide Calculations'!J15</f>
        <v>THAWING</v>
      </c>
      <c r="K15" s="114"/>
      <c r="L15" s="115"/>
      <c r="M15" s="115"/>
    </row>
    <row r="16" spans="1:13" ht="15" customHeight="1">
      <c r="B16" s="112" t="s">
        <v>346</v>
      </c>
      <c r="C16" s="116"/>
      <c r="D16" s="110" t="str">
        <f ca="1">'Prep Guide Calculations'!D16</f>
        <v>4 PANS</v>
      </c>
      <c r="E16" s="111"/>
      <c r="F16" s="112" t="s">
        <v>347</v>
      </c>
      <c r="G16" s="112"/>
      <c r="H16" s="110" t="str">
        <f ca="1">'Prep Guide Calculations'!H16</f>
        <v>5 TRAYS</v>
      </c>
      <c r="I16" s="111"/>
      <c r="J16" s="113" t="s">
        <v>348</v>
      </c>
      <c r="K16" s="112"/>
      <c r="L16" s="110" t="str">
        <f ca="1">'Prep Guide Calculations'!L16</f>
        <v>4 BOXES</v>
      </c>
      <c r="M16" s="111"/>
    </row>
    <row r="17" spans="2:13" ht="14.45" customHeight="1">
      <c r="B17" s="102" t="s">
        <v>349</v>
      </c>
      <c r="C17" s="100"/>
      <c r="D17" s="110" t="str">
        <f ca="1">'Prep Guide Calculations'!D17</f>
        <v>3 PANS</v>
      </c>
      <c r="E17" s="111"/>
      <c r="F17" s="112" t="s">
        <v>342</v>
      </c>
      <c r="G17" s="112"/>
      <c r="H17" s="110" t="str">
        <f ca="1">'Prep Guide Calculations'!H17</f>
        <v>3 TRAYS</v>
      </c>
      <c r="I17" s="111"/>
      <c r="J17" s="113" t="s">
        <v>350</v>
      </c>
      <c r="K17" s="112"/>
      <c r="L17" s="110" t="str">
        <f ca="1">'Prep Guide Calculations'!L17</f>
        <v>4 BOXES</v>
      </c>
      <c r="M17" s="111"/>
    </row>
    <row r="18" spans="2:13" ht="16.5" hidden="1" customHeight="1">
      <c r="B18" s="102" t="s">
        <v>338</v>
      </c>
      <c r="C18" s="100"/>
      <c r="D18" s="110" t="e">
        <f ca="1">'Prep Guide Calculations'!D18</f>
        <v>#N/A</v>
      </c>
      <c r="E18" s="111"/>
      <c r="F18" s="112" t="s">
        <v>342</v>
      </c>
      <c r="G18" s="112"/>
      <c r="H18" s="110" t="e">
        <f ca="1">'Prep Guide Calculations'!H18</f>
        <v>#N/A</v>
      </c>
      <c r="I18" s="111"/>
      <c r="J18" s="113" t="s">
        <v>342</v>
      </c>
      <c r="K18" s="112"/>
      <c r="L18" s="110" t="e">
        <f ca="1">'Prep Guide Calculations'!L18</f>
        <v>#N/A</v>
      </c>
      <c r="M18" s="111"/>
    </row>
    <row r="19" spans="2:13" ht="16.5" hidden="1" customHeight="1">
      <c r="B19" s="102" t="s">
        <v>338</v>
      </c>
      <c r="C19" s="100"/>
      <c r="D19" s="110" t="e">
        <f ca="1">'Prep Guide Calculations'!D19</f>
        <v>#N/A</v>
      </c>
      <c r="E19" s="111"/>
      <c r="F19" s="112" t="s">
        <v>342</v>
      </c>
      <c r="G19" s="112"/>
      <c r="H19" s="110" t="e">
        <f ca="1">'Prep Guide Calculations'!H19</f>
        <v>#N/A</v>
      </c>
      <c r="I19" s="111"/>
      <c r="J19" s="113" t="s">
        <v>342</v>
      </c>
      <c r="K19" s="112"/>
      <c r="L19" s="110" t="str">
        <f ca="1">'Prep Guide Calculations'!L19</f>
        <v>3 BOXES</v>
      </c>
      <c r="M19" s="111"/>
    </row>
    <row r="20" spans="2:13" ht="16.5" hidden="1" customHeight="1">
      <c r="B20" s="102" t="s">
        <v>338</v>
      </c>
      <c r="C20" s="100"/>
      <c r="D20" s="110" t="e">
        <f ca="1">'Prep Guide Calculations'!D20</f>
        <v>#N/A</v>
      </c>
      <c r="E20" s="111"/>
      <c r="F20" s="112" t="s">
        <v>342</v>
      </c>
      <c r="G20" s="112"/>
      <c r="H20" s="110" t="e">
        <f ca="1">'Prep Guide Calculations'!H20</f>
        <v>#N/A</v>
      </c>
      <c r="I20" s="111"/>
      <c r="J20" s="113" t="s">
        <v>342</v>
      </c>
      <c r="K20" s="112"/>
      <c r="L20" s="110" t="e">
        <f ca="1">'Prep Guide Calculations'!L20</f>
        <v>#N/A</v>
      </c>
      <c r="M20" s="111"/>
    </row>
    <row r="21" spans="2:13" ht="16.5" hidden="1" customHeight="1">
      <c r="B21" s="102" t="s">
        <v>338</v>
      </c>
      <c r="C21" s="100"/>
      <c r="D21" s="110" t="e">
        <f ca="1">'Prep Guide Calculations'!D21</f>
        <v>#N/A</v>
      </c>
      <c r="E21" s="111"/>
      <c r="F21" s="112" t="s">
        <v>342</v>
      </c>
      <c r="G21" s="112"/>
      <c r="H21" s="110" t="e">
        <f ca="1">'Prep Guide Calculations'!H21</f>
        <v>#N/A</v>
      </c>
      <c r="I21" s="111"/>
      <c r="J21" s="113" t="s">
        <v>342</v>
      </c>
      <c r="K21" s="112"/>
      <c r="L21" s="110" t="e">
        <f ca="1">'Prep Guide Calculations'!L21</f>
        <v>#N/A</v>
      </c>
      <c r="M21" s="111"/>
    </row>
    <row r="22" spans="2:13" ht="16.5" hidden="1" customHeight="1">
      <c r="B22" s="102" t="s">
        <v>338</v>
      </c>
      <c r="C22" s="100"/>
      <c r="D22" s="110" t="e">
        <f ca="1">'Prep Guide Calculations'!D22</f>
        <v>#N/A</v>
      </c>
      <c r="E22" s="111"/>
      <c r="F22" s="112" t="s">
        <v>342</v>
      </c>
      <c r="G22" s="112"/>
      <c r="H22" s="110" t="e">
        <f ca="1">'Prep Guide Calculations'!H22</f>
        <v>#N/A</v>
      </c>
      <c r="I22" s="111"/>
      <c r="J22" s="113" t="s">
        <v>342</v>
      </c>
      <c r="K22" s="112"/>
      <c r="L22" s="110" t="e">
        <f ca="1">'Prep Guide Calculations'!L22</f>
        <v>#N/A</v>
      </c>
      <c r="M22" s="111"/>
    </row>
    <row r="23" spans="2:13" ht="16.5" hidden="1" customHeight="1">
      <c r="B23" s="102" t="s">
        <v>338</v>
      </c>
      <c r="C23" s="100"/>
      <c r="D23" s="110" t="e">
        <f ca="1">'Prep Guide Calculations'!D23</f>
        <v>#N/A</v>
      </c>
      <c r="E23" s="111"/>
      <c r="F23" s="112" t="s">
        <v>342</v>
      </c>
      <c r="G23" s="112"/>
      <c r="H23" s="110" t="e">
        <f ca="1">'Prep Guide Calculations'!H23</f>
        <v>#N/A</v>
      </c>
      <c r="I23" s="111"/>
      <c r="J23" s="113" t="s">
        <v>342</v>
      </c>
      <c r="K23" s="112"/>
      <c r="L23" s="110" t="e">
        <f ca="1">'Prep Guide Calculations'!L23</f>
        <v>#N/A</v>
      </c>
      <c r="M23" s="111"/>
    </row>
    <row r="24" spans="2:13" ht="16.5" hidden="1" customHeight="1">
      <c r="B24" s="102" t="s">
        <v>338</v>
      </c>
      <c r="C24" s="100"/>
      <c r="D24" s="110" t="e">
        <f ca="1">'Prep Guide Calculations'!D24</f>
        <v>#N/A</v>
      </c>
      <c r="E24" s="111"/>
      <c r="F24" s="112" t="s">
        <v>342</v>
      </c>
      <c r="G24" s="112"/>
      <c r="H24" s="110" t="e">
        <f ca="1">'Prep Guide Calculations'!H24</f>
        <v>#N/A</v>
      </c>
      <c r="I24" s="111"/>
      <c r="J24" s="113" t="s">
        <v>342</v>
      </c>
      <c r="K24" s="112"/>
      <c r="L24" s="110" t="e">
        <f ca="1">'Prep Guide Calculations'!L24</f>
        <v>#N/A</v>
      </c>
      <c r="M24" s="111"/>
    </row>
    <row r="25" spans="2:13" ht="16.5" hidden="1" customHeight="1">
      <c r="B25" s="102" t="s">
        <v>338</v>
      </c>
      <c r="C25" s="100"/>
      <c r="D25" s="110" t="e">
        <f ca="1">'Prep Guide Calculations'!D25</f>
        <v>#N/A</v>
      </c>
      <c r="E25" s="111"/>
      <c r="F25" s="112" t="s">
        <v>342</v>
      </c>
      <c r="G25" s="112"/>
      <c r="H25" s="110" t="e">
        <f ca="1">'Prep Guide Calculations'!H25</f>
        <v>#N/A</v>
      </c>
      <c r="I25" s="111"/>
      <c r="J25" s="113" t="s">
        <v>342</v>
      </c>
      <c r="K25" s="112"/>
      <c r="L25" s="110" t="e">
        <f ca="1">'Prep Guide Calculations'!L25</f>
        <v>#N/A</v>
      </c>
      <c r="M25" s="111"/>
    </row>
    <row r="26" spans="2:13" ht="16.5" hidden="1" customHeight="1">
      <c r="B26" s="102" t="s">
        <v>338</v>
      </c>
      <c r="C26" s="100"/>
      <c r="D26" s="110" t="e">
        <f ca="1">'Prep Guide Calculations'!D26</f>
        <v>#N/A</v>
      </c>
      <c r="E26" s="111"/>
      <c r="F26" s="112" t="s">
        <v>342</v>
      </c>
      <c r="G26" s="112"/>
      <c r="H26" s="110" t="e">
        <f ca="1">'Prep Guide Calculations'!H26</f>
        <v>#N/A</v>
      </c>
      <c r="I26" s="111"/>
      <c r="J26" s="113" t="s">
        <v>342</v>
      </c>
      <c r="K26" s="112"/>
      <c r="L26" s="110" t="e">
        <f ca="1">'Prep Guide Calculations'!L26</f>
        <v>#N/A</v>
      </c>
      <c r="M26" s="111"/>
    </row>
    <row r="27" spans="2:13" ht="16.5" hidden="1" customHeight="1">
      <c r="B27" s="102" t="s">
        <v>338</v>
      </c>
      <c r="C27" s="100"/>
      <c r="D27" s="110" t="e">
        <f ca="1">'Prep Guide Calculations'!D27</f>
        <v>#N/A</v>
      </c>
      <c r="E27" s="111"/>
      <c r="F27" s="112" t="s">
        <v>342</v>
      </c>
      <c r="G27" s="112"/>
      <c r="H27" s="110" t="e">
        <f ca="1">'Prep Guide Calculations'!H27</f>
        <v>#N/A</v>
      </c>
      <c r="I27" s="111"/>
      <c r="J27" s="113" t="s">
        <v>342</v>
      </c>
      <c r="K27" s="112"/>
      <c r="L27" s="110" t="e">
        <f ca="1">'Prep Guide Calculations'!L27</f>
        <v>#N/A</v>
      </c>
      <c r="M27" s="111"/>
    </row>
    <row r="28" spans="2:13" ht="16.5" hidden="1" customHeight="1">
      <c r="B28" s="102" t="s">
        <v>338</v>
      </c>
      <c r="C28" s="100"/>
      <c r="D28" s="110" t="e">
        <f ca="1">'Prep Guide Calculations'!D28</f>
        <v>#N/A</v>
      </c>
      <c r="E28" s="111"/>
      <c r="F28" s="112" t="s">
        <v>342</v>
      </c>
      <c r="G28" s="112"/>
      <c r="H28" s="110" t="e">
        <f ca="1">'Prep Guide Calculations'!H28</f>
        <v>#N/A</v>
      </c>
      <c r="I28" s="111"/>
      <c r="J28" s="113" t="s">
        <v>342</v>
      </c>
      <c r="K28" s="112"/>
      <c r="L28" s="110" t="e">
        <f ca="1">'Prep Guide Calculations'!L28</f>
        <v>#N/A</v>
      </c>
      <c r="M28" s="111"/>
    </row>
    <row r="29" spans="2:13" ht="16.5" hidden="1" customHeight="1">
      <c r="B29" s="102" t="s">
        <v>338</v>
      </c>
      <c r="C29" s="100"/>
      <c r="D29" s="110" t="e">
        <f ca="1">'Prep Guide Calculations'!D29</f>
        <v>#N/A</v>
      </c>
      <c r="E29" s="111"/>
      <c r="F29" s="112" t="s">
        <v>342</v>
      </c>
      <c r="G29" s="112"/>
      <c r="H29" s="110" t="e">
        <f ca="1">'Prep Guide Calculations'!H29</f>
        <v>#N/A</v>
      </c>
      <c r="I29" s="111"/>
      <c r="J29" s="113" t="s">
        <v>342</v>
      </c>
      <c r="K29" s="112"/>
      <c r="L29" s="110" t="e">
        <f ca="1">'Prep Guide Calculations'!L29</f>
        <v>#N/A</v>
      </c>
      <c r="M29" s="111"/>
    </row>
    <row r="30" spans="2:13" ht="16.5" hidden="1" customHeight="1">
      <c r="B30" s="102" t="s">
        <v>338</v>
      </c>
      <c r="C30" s="100"/>
      <c r="D30" s="110" t="e">
        <f ca="1">'Prep Guide Calculations'!D30</f>
        <v>#N/A</v>
      </c>
      <c r="E30" s="111"/>
      <c r="F30" s="112" t="s">
        <v>342</v>
      </c>
      <c r="G30" s="112"/>
      <c r="H30" s="110" t="e">
        <f ca="1">'Prep Guide Calculations'!H30</f>
        <v>#N/A</v>
      </c>
      <c r="I30" s="111"/>
      <c r="J30" s="113" t="s">
        <v>342</v>
      </c>
      <c r="K30" s="112"/>
      <c r="L30" s="110" t="e">
        <f ca="1">'Prep Guide Calculations'!L30</f>
        <v>#N/A</v>
      </c>
      <c r="M30" s="111"/>
    </row>
    <row r="31" spans="2:13" ht="16.5" hidden="1" customHeight="1">
      <c r="B31" s="102" t="s">
        <v>338</v>
      </c>
      <c r="C31" s="100"/>
      <c r="D31" s="110" t="e">
        <f ca="1">'Prep Guide Calculations'!D31</f>
        <v>#N/A</v>
      </c>
      <c r="E31" s="111"/>
      <c r="F31" s="112" t="s">
        <v>342</v>
      </c>
      <c r="G31" s="112"/>
      <c r="H31" s="110" t="e">
        <f ca="1">'Prep Guide Calculations'!H31</f>
        <v>#N/A</v>
      </c>
      <c r="I31" s="111"/>
      <c r="J31" s="113" t="s">
        <v>342</v>
      </c>
      <c r="K31" s="112"/>
      <c r="L31" s="110" t="e">
        <f ca="1">'Prep Guide Calculations'!L31</f>
        <v>#N/A</v>
      </c>
      <c r="M31" s="111"/>
    </row>
    <row r="32" spans="2:13" ht="16.5" hidden="1" customHeight="1">
      <c r="B32" s="102" t="s">
        <v>338</v>
      </c>
      <c r="C32" s="100"/>
      <c r="D32" s="110" t="e">
        <f ca="1">'Prep Guide Calculations'!D32</f>
        <v>#N/A</v>
      </c>
      <c r="E32" s="111"/>
      <c r="F32" s="112" t="s">
        <v>342</v>
      </c>
      <c r="G32" s="112"/>
      <c r="H32" s="110" t="e">
        <f ca="1">'Prep Guide Calculations'!H32</f>
        <v>#N/A</v>
      </c>
      <c r="I32" s="111"/>
      <c r="J32" s="113" t="s">
        <v>342</v>
      </c>
      <c r="K32" s="112"/>
      <c r="L32" s="110" t="e">
        <f ca="1">'Prep Guide Calculations'!L32</f>
        <v>#N/A</v>
      </c>
      <c r="M32" s="111"/>
    </row>
    <row r="33" spans="2:13" ht="16.5" hidden="1" customHeight="1">
      <c r="B33" s="102" t="s">
        <v>338</v>
      </c>
      <c r="C33" s="100"/>
      <c r="D33" s="110" t="e">
        <f ca="1">'Prep Guide Calculations'!D33</f>
        <v>#N/A</v>
      </c>
      <c r="E33" s="111"/>
      <c r="F33" s="112" t="s">
        <v>342</v>
      </c>
      <c r="G33" s="112"/>
      <c r="H33" s="110" t="e">
        <f ca="1">'Prep Guide Calculations'!H33</f>
        <v>#N/A</v>
      </c>
      <c r="I33" s="111"/>
      <c r="J33" s="113" t="s">
        <v>342</v>
      </c>
      <c r="K33" s="112"/>
      <c r="L33" s="110" t="e">
        <f ca="1">'Prep Guide Calculations'!L33</f>
        <v>#N/A</v>
      </c>
      <c r="M33" s="111"/>
    </row>
    <row r="34" spans="2:13" ht="15.95" customHeight="1">
      <c r="B34" s="102" t="s">
        <v>351</v>
      </c>
      <c r="C34" s="100"/>
      <c r="D34" s="110" t="str">
        <f ca="1">'Prep Guide Calculations'!D34</f>
        <v>15 BOTTLES</v>
      </c>
      <c r="E34" s="111"/>
      <c r="F34" s="112" t="s">
        <v>352</v>
      </c>
      <c r="G34" s="112"/>
      <c r="H34" s="110" t="str">
        <f ca="1">'Prep Guide Calculations'!H34</f>
        <v>2 TUBS</v>
      </c>
      <c r="I34" s="111"/>
      <c r="J34" s="113" t="s">
        <v>353</v>
      </c>
      <c r="K34" s="112"/>
      <c r="L34" s="110" t="str">
        <f ca="1">'Prep Guide Calculations'!L34</f>
        <v>2 BOXES</v>
      </c>
      <c r="M34" s="111"/>
    </row>
    <row r="35" spans="2:13" ht="15" customHeight="1">
      <c r="B35" s="102" t="s">
        <v>354</v>
      </c>
      <c r="C35" s="100"/>
      <c r="D35" s="110" t="str">
        <f ca="1">'Prep Guide Calculations'!D35</f>
        <v>14 BOTTLES</v>
      </c>
      <c r="E35" s="111"/>
      <c r="F35" s="112" t="s">
        <v>355</v>
      </c>
      <c r="G35" s="112"/>
      <c r="H35" s="110" t="str">
        <f ca="1">'Prep Guide Calculations'!H35</f>
        <v>1 CUPS</v>
      </c>
      <c r="I35" s="111"/>
      <c r="J35" s="117" t="s">
        <v>356</v>
      </c>
      <c r="K35" s="118"/>
      <c r="L35" s="110" t="str">
        <f ca="1">'Prep Guide Calculations'!L35</f>
        <v>3 BOXES</v>
      </c>
      <c r="M35" s="111"/>
    </row>
    <row r="36" spans="2:13" ht="14.45" customHeight="1">
      <c r="B36" s="102" t="s">
        <v>357</v>
      </c>
      <c r="C36" s="100"/>
      <c r="D36" s="110" t="str">
        <f ca="1">'Prep Guide Calculations'!D36</f>
        <v>7 BOTTLES</v>
      </c>
      <c r="E36" s="111"/>
      <c r="F36" s="16"/>
      <c r="G36" s="16"/>
      <c r="H36" s="16"/>
      <c r="I36" s="16"/>
      <c r="J36" s="100" t="s">
        <v>342</v>
      </c>
      <c r="K36" s="101"/>
      <c r="L36" s="110" t="str">
        <f ca="1">'Prep Guide Calculations'!L36</f>
        <v>3 BOXES</v>
      </c>
      <c r="M36" s="111"/>
    </row>
    <row r="37" spans="2:13" ht="14.45" customHeight="1">
      <c r="B37" s="102" t="s">
        <v>358</v>
      </c>
      <c r="C37" s="100"/>
      <c r="D37" s="110" t="str">
        <f ca="1">'Prep Guide Calculations'!D37</f>
        <v>5 BOTTLES</v>
      </c>
      <c r="E37" s="111"/>
      <c r="F37" s="16"/>
      <c r="G37" s="16"/>
      <c r="H37" s="16"/>
      <c r="I37" s="16"/>
      <c r="J37" s="102" t="s">
        <v>352</v>
      </c>
      <c r="K37" s="102"/>
      <c r="L37" s="110" t="str">
        <f ca="1">'Prep Guide Calculations'!L37</f>
        <v>3 BOXES</v>
      </c>
      <c r="M37" s="111"/>
    </row>
    <row r="38" spans="2:13">
      <c r="B38" s="102" t="s">
        <v>359</v>
      </c>
      <c r="C38" s="100"/>
      <c r="D38" s="110" t="str">
        <f ca="1">'Prep Guide Calculations'!D38</f>
        <v>3 BOTTLES</v>
      </c>
      <c r="E38" s="111"/>
      <c r="F38" s="16"/>
      <c r="G38" s="16"/>
      <c r="H38" s="16"/>
      <c r="I38" s="16"/>
      <c r="J38" s="102" t="s">
        <v>334</v>
      </c>
      <c r="K38" s="102"/>
      <c r="L38" s="110" t="str">
        <f ca="1">'Prep Guide Calculations'!L38</f>
        <v>44 BAGS</v>
      </c>
      <c r="M38" s="111"/>
    </row>
    <row r="39" spans="2:13" ht="16.5" customHeight="1">
      <c r="B39" s="102" t="s">
        <v>360</v>
      </c>
      <c r="C39" s="100"/>
      <c r="D39" s="110" t="str">
        <f ca="1">'Prep Guide Calculations'!D39</f>
        <v>7 BOTTLES</v>
      </c>
      <c r="E39" s="111"/>
      <c r="F39" s="16"/>
      <c r="G39" s="16"/>
      <c r="H39" s="16"/>
      <c r="I39" s="16"/>
      <c r="J39" s="16"/>
      <c r="K39" s="16"/>
      <c r="L39" s="16"/>
      <c r="M39" s="17"/>
    </row>
    <row r="40" spans="2:13" ht="16.5" customHeight="1">
      <c r="B40" s="102" t="s">
        <v>361</v>
      </c>
      <c r="C40" s="100"/>
      <c r="D40" s="110" t="str">
        <f ca="1">'Prep Guide Calculations'!D40</f>
        <v>2 BOTTLES</v>
      </c>
      <c r="E40" s="111"/>
      <c r="F40" s="18"/>
      <c r="G40" s="18"/>
      <c r="H40" s="18"/>
      <c r="I40" s="18"/>
      <c r="J40" s="18"/>
      <c r="K40" s="18"/>
      <c r="L40" s="18"/>
      <c r="M40" s="19"/>
    </row>
    <row r="43" spans="2:13" ht="16.5" hidden="1" customHeight="1">
      <c r="D43" s="119">
        <f ca="1">SUM(D9:E12)</f>
        <v>6</v>
      </c>
      <c r="E43" s="119"/>
      <c r="F43" s="119">
        <f ca="1">SUM(F9:G12)</f>
        <v>14</v>
      </c>
      <c r="G43" s="119"/>
      <c r="H43" s="119">
        <f ca="1">SUM(H9:I12)</f>
        <v>14</v>
      </c>
      <c r="I43" s="119"/>
      <c r="J43" s="119">
        <f ca="1">SUM(J9:K12)</f>
        <v>21</v>
      </c>
      <c r="K43" s="119"/>
      <c r="L43" s="119">
        <f ca="1">SUM(L9:M12)</f>
        <v>8</v>
      </c>
      <c r="M43" s="119"/>
    </row>
    <row r="47" spans="2:13"/>
    <row r="50"/>
    <row r="51"/>
  </sheetData>
  <mergeCells count="198">
    <mergeCell ref="D43:E43"/>
    <mergeCell ref="F43:G43"/>
    <mergeCell ref="H43:I43"/>
    <mergeCell ref="J43:K43"/>
    <mergeCell ref="L43:M43"/>
    <mergeCell ref="L38:M38"/>
    <mergeCell ref="J38:K38"/>
    <mergeCell ref="L36:M36"/>
    <mergeCell ref="L37:M37"/>
    <mergeCell ref="B38:C38"/>
    <mergeCell ref="D38:E38"/>
    <mergeCell ref="B39:C39"/>
    <mergeCell ref="D39:E39"/>
    <mergeCell ref="B40:C40"/>
    <mergeCell ref="D40:E40"/>
    <mergeCell ref="B36:C36"/>
    <mergeCell ref="D36:E36"/>
    <mergeCell ref="J36:K36"/>
    <mergeCell ref="B37:C37"/>
    <mergeCell ref="D37:E37"/>
    <mergeCell ref="J37:K37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B27:C27"/>
    <mergeCell ref="D27:E27"/>
    <mergeCell ref="F27:G27"/>
    <mergeCell ref="H27:I27"/>
    <mergeCell ref="J27:K27"/>
    <mergeCell ref="L27:M27"/>
    <mergeCell ref="B26:C26"/>
    <mergeCell ref="D26:E26"/>
    <mergeCell ref="F26:G26"/>
    <mergeCell ref="H26:I26"/>
    <mergeCell ref="J26:K26"/>
    <mergeCell ref="L26:M26"/>
    <mergeCell ref="B25:C25"/>
    <mergeCell ref="D25:E25"/>
    <mergeCell ref="F25:G25"/>
    <mergeCell ref="H25:I25"/>
    <mergeCell ref="J25:K25"/>
    <mergeCell ref="L25:M25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17:C17"/>
    <mergeCell ref="D17:E17"/>
    <mergeCell ref="F17:G17"/>
    <mergeCell ref="H17:I17"/>
    <mergeCell ref="J17:K17"/>
    <mergeCell ref="L17:M17"/>
    <mergeCell ref="B15:E15"/>
    <mergeCell ref="F15:I15"/>
    <mergeCell ref="J15:M15"/>
    <mergeCell ref="B16:C16"/>
    <mergeCell ref="D16:E16"/>
    <mergeCell ref="F16:G16"/>
    <mergeCell ref="H16:I16"/>
    <mergeCell ref="J16:K16"/>
    <mergeCell ref="L16:M16"/>
    <mergeCell ref="B13:C13"/>
    <mergeCell ref="D13:E13"/>
    <mergeCell ref="F13:G13"/>
    <mergeCell ref="H13:I13"/>
    <mergeCell ref="J13:K13"/>
    <mergeCell ref="L13:M13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L11:M11"/>
    <mergeCell ref="B10:C10"/>
    <mergeCell ref="D10:E10"/>
    <mergeCell ref="F10:G10"/>
    <mergeCell ref="H10:I10"/>
    <mergeCell ref="J10:K10"/>
    <mergeCell ref="L10:M10"/>
    <mergeCell ref="B9:C9"/>
    <mergeCell ref="D9:E9"/>
    <mergeCell ref="F9:G9"/>
    <mergeCell ref="H9:I9"/>
    <mergeCell ref="J9:K9"/>
    <mergeCell ref="L9:M9"/>
    <mergeCell ref="B8:C8"/>
    <mergeCell ref="D8:E8"/>
    <mergeCell ref="F8:G8"/>
    <mergeCell ref="H8:I8"/>
    <mergeCell ref="J8:K8"/>
    <mergeCell ref="L8:M8"/>
    <mergeCell ref="B2:M2"/>
    <mergeCell ref="B3:G3"/>
    <mergeCell ref="H3:M3"/>
    <mergeCell ref="B4:G4"/>
    <mergeCell ref="H4:J4"/>
    <mergeCell ref="K4:M4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  <mergeCell ref="L6:M6"/>
  </mergeCells>
  <conditionalFormatting sqref="D9:M12">
    <cfRule type="expression" dxfId="0" priority="1">
      <formula>D$43&gt;24</formula>
    </cfRule>
  </conditionalFormatting>
  <printOptions horizontalCentered="1"/>
  <pageMargins left="0.7" right="0.7" top="0.75" bottom="0.75" header="0.3" footer="0.3"/>
  <pageSetup paperSize="9"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D3D0-5710-4281-8CC6-6746AA466003}">
  <dimension ref="B1:J5"/>
  <sheetViews>
    <sheetView showGridLines="0" workbookViewId="0">
      <selection activeCell="C2" sqref="C2:J2"/>
    </sheetView>
  </sheetViews>
  <sheetFormatPr defaultRowHeight="15"/>
  <cols>
    <col min="2" max="2" width="15.28515625" bestFit="1" customWidth="1"/>
  </cols>
  <sheetData>
    <row r="1" spans="2:10">
      <c r="C1" s="1" t="s">
        <v>362</v>
      </c>
      <c r="D1" s="1" t="s">
        <v>181</v>
      </c>
      <c r="E1" s="1" t="s">
        <v>183</v>
      </c>
      <c r="F1" s="1" t="s">
        <v>185</v>
      </c>
      <c r="G1" s="1" t="s">
        <v>187</v>
      </c>
      <c r="H1" s="1" t="s">
        <v>189</v>
      </c>
      <c r="I1" s="1" t="s">
        <v>191</v>
      </c>
      <c r="J1" s="1" t="s">
        <v>193</v>
      </c>
    </row>
    <row r="2" spans="2:10">
      <c r="B2" s="41" t="s">
        <v>363</v>
      </c>
      <c r="C2" s="42">
        <v>40044</v>
      </c>
      <c r="D2" s="42">
        <v>4721</v>
      </c>
      <c r="E2" s="42">
        <v>4519</v>
      </c>
      <c r="F2" s="42">
        <v>4939</v>
      </c>
      <c r="G2" s="42">
        <v>5292</v>
      </c>
      <c r="H2" s="42">
        <v>7230</v>
      </c>
      <c r="I2" s="42">
        <v>7038</v>
      </c>
      <c r="J2" s="42">
        <v>6305</v>
      </c>
    </row>
    <row r="3" spans="2:10">
      <c r="B3" s="41" t="s">
        <v>364</v>
      </c>
      <c r="C3" s="42">
        <v>0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</row>
    <row r="5" spans="2:10">
      <c r="C5" s="158" t="s">
        <v>365</v>
      </c>
      <c r="D5" s="158"/>
      <c r="E5" s="158"/>
      <c r="F5" s="158"/>
      <c r="G5" s="158"/>
      <c r="H5" s="158"/>
      <c r="I5" s="158"/>
    </row>
  </sheetData>
  <mergeCells count="1">
    <mergeCell ref="C5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ed92a6bd-57c6-4c39-9640-2b7eafa8b14c">
      <Terms xmlns="http://schemas.microsoft.com/office/infopath/2007/PartnerControls"/>
    </lcf76f155ced4ddcb4097134ff3c332f>
    <_x0031__x002e_0 xmlns="ed92a6bd-57c6-4c39-9640-2b7eafa8b14c" xsi:nil="true"/>
    <_ip_UnifiedCompliancePolicyProperties xmlns="http://schemas.microsoft.com/sharepoint/v3" xsi:nil="true"/>
    <TaxCatchAll xmlns="026c6a52-2c52-472a-89c9-a44e191e5a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60C1D8B038E54897F4D5C940C02B12" ma:contentTypeVersion="26" ma:contentTypeDescription="Create a new document." ma:contentTypeScope="" ma:versionID="48fb4b30b2a95ffe304d4646a48964bd">
  <xsd:schema xmlns:xsd="http://www.w3.org/2001/XMLSchema" xmlns:xs="http://www.w3.org/2001/XMLSchema" xmlns:p="http://schemas.microsoft.com/office/2006/metadata/properties" xmlns:ns1="http://schemas.microsoft.com/sharepoint/v3" xmlns:ns2="ed92a6bd-57c6-4c39-9640-2b7eafa8b14c" xmlns:ns3="026c6a52-2c52-472a-89c9-a44e191e5ad3" targetNamespace="http://schemas.microsoft.com/office/2006/metadata/properties" ma:root="true" ma:fieldsID="bcd7392f2ca987effd090e2bc3f14bf1" ns1:_="" ns2:_="" ns3:_="">
    <xsd:import namespace="http://schemas.microsoft.com/sharepoint/v3"/>
    <xsd:import namespace="ed92a6bd-57c6-4c39-9640-2b7eafa8b14c"/>
    <xsd:import namespace="026c6a52-2c52-472a-89c9-a44e191e5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_x0031__x002e_0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2a6bd-57c6-4c39-9640-2b7eafa8b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_x0031__x002e_0" ma:index="23" nillable="true" ma:displayName="File Number" ma:format="Dropdown" ma:internalName="_x0031__x002e_0" ma:percentage="FALSE">
      <xsd:simpleType>
        <xsd:restriction base="dms:Number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568d37b5-6daa-4777-88aa-51af793dbe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c6a52-2c52-472a-89c9-a44e191e5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14ab030-f02d-4f8d-a89e-9777408328b1}" ma:internalName="TaxCatchAll" ma:showField="CatchAllData" ma:web="026c6a52-2c52-472a-89c9-a44e191e5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BC5BC1-F727-4F42-B540-4017875EBC91}"/>
</file>

<file path=customXml/itemProps2.xml><?xml version="1.0" encoding="utf-8"?>
<ds:datastoreItem xmlns:ds="http://schemas.openxmlformats.org/officeDocument/2006/customXml" ds:itemID="{976E1290-3EF6-40D9-959C-03065C19C136}"/>
</file>

<file path=customXml/itemProps3.xml><?xml version="1.0" encoding="utf-8"?>
<ds:datastoreItem xmlns:ds="http://schemas.openxmlformats.org/officeDocument/2006/customXml" ds:itemID="{EF030F38-1772-447D-9722-51ABB65F1A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Read</dc:creator>
  <cp:keywords/>
  <dc:description/>
  <cp:lastModifiedBy>3811 Taco Bell Chirnside Park</cp:lastModifiedBy>
  <cp:revision/>
  <dcterms:created xsi:type="dcterms:W3CDTF">2026-06-26T10:09:54Z</dcterms:created>
  <dcterms:modified xsi:type="dcterms:W3CDTF">2026-07-22T09:33:13Z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75a828-0efb-4904-8b7d-8e7c9af1e29b_Enabled">
    <vt:lpwstr>true</vt:lpwstr>
  </property>
  <property fmtid="{D5CDD505-2E9C-101B-9397-08002B2CF9AE}" pid="3" name="MSIP_Label_6a75a828-0efb-4904-8b7d-8e7c9af1e29b_SetDate">
    <vt:lpwstr>2026-06-26T11:03:15Z</vt:lpwstr>
  </property>
  <property fmtid="{D5CDD505-2E9C-101B-9397-08002B2CF9AE}" pid="4" name="MSIP_Label_6a75a828-0efb-4904-8b7d-8e7c9af1e29b_Method">
    <vt:lpwstr>Privileged</vt:lpwstr>
  </property>
  <property fmtid="{D5CDD505-2E9C-101B-9397-08002B2CF9AE}" pid="5" name="MSIP_Label_6a75a828-0efb-4904-8b7d-8e7c9af1e29b_Name">
    <vt:lpwstr>Sensitive</vt:lpwstr>
  </property>
  <property fmtid="{D5CDD505-2E9C-101B-9397-08002B2CF9AE}" pid="6" name="MSIP_Label_6a75a828-0efb-4904-8b7d-8e7c9af1e29b_SiteId">
    <vt:lpwstr>34bdcafe-1af1-4c1d-91c3-47ac4cd39329</vt:lpwstr>
  </property>
  <property fmtid="{D5CDD505-2E9C-101B-9397-08002B2CF9AE}" pid="7" name="MSIP_Label_6a75a828-0efb-4904-8b7d-8e7c9af1e29b_ActionId">
    <vt:lpwstr>d64f95b9-e64f-4a41-8633-7a5bd651ec54</vt:lpwstr>
  </property>
  <property fmtid="{D5CDD505-2E9C-101B-9397-08002B2CF9AE}" pid="8" name="MSIP_Label_6a75a828-0efb-4904-8b7d-8e7c9af1e29b_ContentBits">
    <vt:lpwstr>2</vt:lpwstr>
  </property>
  <property fmtid="{D5CDD505-2E9C-101B-9397-08002B2CF9AE}" pid="9" name="MSIP_Label_6a75a828-0efb-4904-8b7d-8e7c9af1e29b_Tag">
    <vt:lpwstr>10, 0, 1, 1</vt:lpwstr>
  </property>
  <property fmtid="{D5CDD505-2E9C-101B-9397-08002B2CF9AE}" pid="10" name="ContentTypeId">
    <vt:lpwstr>0x0101006660C1D8B038E54897F4D5C940C02B12</vt:lpwstr>
  </property>
  <property fmtid="{D5CDD505-2E9C-101B-9397-08002B2CF9AE}" pid="11" name="MediaServiceImageTags">
    <vt:lpwstr/>
  </property>
</Properties>
</file>